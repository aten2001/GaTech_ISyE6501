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tteozullo/Desktop/"/>
    </mc:Choice>
  </mc:AlternateContent>
  <xr:revisionPtr revIDLastSave="0" documentId="13_ncr:1_{BA186A8F-6726-8445-8A52-ED71A324EA1D}" xr6:coauthVersionLast="44" xr6:coauthVersionMax="44" xr10:uidLastSave="{00000000-0000-0000-0000-000000000000}"/>
  <bookViews>
    <workbookView xWindow="1780" yWindow="460" windowWidth="25760" windowHeight="16240" xr2:uid="{00000000-000D-0000-FFFF-FFFF00000000}"/>
  </bookViews>
  <sheets>
    <sheet name="DATA 1996-2015" sheetId="1" r:id="rId1"/>
    <sheet name="CUSUM" sheetId="2" r:id="rId2"/>
    <sheet name="DATA 1996-2015_VALID" sheetId="3" r:id="rId3"/>
    <sheet name="DATA 1996-2015_VALID_PLO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2" l="1"/>
  <c r="D12" i="2" s="1"/>
  <c r="AO4" i="3"/>
  <c r="AO5" i="3" s="1"/>
  <c r="AO6" i="3" s="1"/>
  <c r="AO7" i="3" s="1"/>
  <c r="AO8" i="3" s="1"/>
  <c r="AO9" i="3" s="1"/>
  <c r="AO10" i="3" s="1"/>
  <c r="AO11" i="3" s="1"/>
  <c r="AO12" i="3" s="1"/>
  <c r="AO13" i="3" s="1"/>
  <c r="AO14" i="3" s="1"/>
  <c r="AO15" i="3" s="1"/>
  <c r="AO16" i="3" s="1"/>
  <c r="AO17" i="3" s="1"/>
  <c r="AO18" i="3" s="1"/>
  <c r="AO19" i="3" s="1"/>
  <c r="AO20" i="3" s="1"/>
  <c r="AO21" i="3" s="1"/>
  <c r="AO22" i="3" s="1"/>
  <c r="AO23" i="3" s="1"/>
  <c r="AO24" i="3" s="1"/>
  <c r="AO25" i="3" s="1"/>
  <c r="AO26" i="3" s="1"/>
  <c r="AO27" i="3" s="1"/>
  <c r="AO28" i="3" s="1"/>
  <c r="AO29" i="3" s="1"/>
  <c r="AO30" i="3" s="1"/>
  <c r="AO31" i="3" s="1"/>
  <c r="AO32" i="3" s="1"/>
  <c r="AO33" i="3" s="1"/>
  <c r="AO34" i="3" s="1"/>
  <c r="AO35" i="3" s="1"/>
  <c r="AO36" i="3" s="1"/>
  <c r="AO37" i="3" s="1"/>
  <c r="AO38" i="3" s="1"/>
  <c r="AO39" i="3" s="1"/>
  <c r="AO40" i="3" s="1"/>
  <c r="AO41" i="3" s="1"/>
  <c r="AO42" i="3" s="1"/>
  <c r="AO43" i="3" s="1"/>
  <c r="AO44" i="3" s="1"/>
  <c r="AO45" i="3" s="1"/>
  <c r="AO46" i="3" s="1"/>
  <c r="AO47" i="3" s="1"/>
  <c r="AO48" i="3" s="1"/>
  <c r="AO49" i="3" s="1"/>
  <c r="AO50" i="3" s="1"/>
  <c r="AO51" i="3" s="1"/>
  <c r="AO52" i="3" s="1"/>
  <c r="AO53" i="3" s="1"/>
  <c r="AO54" i="3" s="1"/>
  <c r="AO55" i="3" s="1"/>
  <c r="AO56" i="3" s="1"/>
  <c r="AO57" i="3" s="1"/>
  <c r="AO58" i="3" s="1"/>
  <c r="AO59" i="3" s="1"/>
  <c r="AO60" i="3" s="1"/>
  <c r="AO61" i="3" s="1"/>
  <c r="AO62" i="3" s="1"/>
  <c r="AO63" i="3" s="1"/>
  <c r="AO64" i="3" s="1"/>
  <c r="AO65" i="3" s="1"/>
  <c r="AO66" i="3" s="1"/>
  <c r="AO67" i="3" s="1"/>
  <c r="AO68" i="3" s="1"/>
  <c r="AO69" i="3" s="1"/>
  <c r="AO70" i="3" s="1"/>
  <c r="AO71" i="3" s="1"/>
  <c r="AO72" i="3" s="1"/>
  <c r="AO73" i="3" s="1"/>
  <c r="AO74" i="3" s="1"/>
  <c r="AO75" i="3" s="1"/>
  <c r="AO76" i="3" s="1"/>
  <c r="AO77" i="3" s="1"/>
  <c r="AO78" i="3" s="1"/>
  <c r="AO79" i="3" s="1"/>
  <c r="AO80" i="3" s="1"/>
  <c r="AO81" i="3" s="1"/>
  <c r="AO82" i="3" s="1"/>
  <c r="AO83" i="3" s="1"/>
  <c r="AO84" i="3" s="1"/>
  <c r="AO85" i="3" s="1"/>
  <c r="AO86" i="3" s="1"/>
  <c r="AO87" i="3" s="1"/>
  <c r="AO88" i="3" s="1"/>
  <c r="AO89" i="3" s="1"/>
  <c r="AO90" i="3" s="1"/>
  <c r="AO91" i="3" s="1"/>
  <c r="AO92" i="3" s="1"/>
  <c r="AO93" i="3" s="1"/>
  <c r="AO94" i="3" s="1"/>
  <c r="AO95" i="3" s="1"/>
  <c r="AO96" i="3" s="1"/>
  <c r="AO97" i="3" s="1"/>
  <c r="AO98" i="3" s="1"/>
  <c r="AO99" i="3" s="1"/>
  <c r="AO100" i="3" s="1"/>
  <c r="AO101" i="3" s="1"/>
  <c r="AO102" i="3" s="1"/>
  <c r="AO103" i="3" s="1"/>
  <c r="AO104" i="3" s="1"/>
  <c r="AO105" i="3" s="1"/>
  <c r="AO106" i="3" s="1"/>
  <c r="AO107" i="3" s="1"/>
  <c r="AO108" i="3" s="1"/>
  <c r="AO109" i="3" s="1"/>
  <c r="AO110" i="3" s="1"/>
  <c r="AO111" i="3" s="1"/>
  <c r="AO112" i="3" s="1"/>
  <c r="AO113" i="3" s="1"/>
  <c r="AO114" i="3" s="1"/>
  <c r="AO115" i="3" s="1"/>
  <c r="AO116" i="3" s="1"/>
  <c r="AO117" i="3" s="1"/>
  <c r="AO118" i="3" s="1"/>
  <c r="AO119" i="3" s="1"/>
  <c r="AO120" i="3" s="1"/>
  <c r="AO121" i="3" s="1"/>
  <c r="AO122" i="3" s="1"/>
  <c r="AO123" i="3" s="1"/>
  <c r="AO124" i="3" s="1"/>
  <c r="AO125" i="3" s="1"/>
  <c r="AO3" i="3"/>
  <c r="AM4" i="3"/>
  <c r="AM5" i="3" s="1"/>
  <c r="AM6" i="3" s="1"/>
  <c r="AM7" i="3" s="1"/>
  <c r="AM8" i="3" s="1"/>
  <c r="AM9" i="3" s="1"/>
  <c r="AM10" i="3" s="1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AM103" i="3" s="1"/>
  <c r="AM104" i="3" s="1"/>
  <c r="AM105" i="3" s="1"/>
  <c r="AM106" i="3" s="1"/>
  <c r="AM107" i="3" s="1"/>
  <c r="AM108" i="3" s="1"/>
  <c r="AM109" i="3" s="1"/>
  <c r="AM110" i="3" s="1"/>
  <c r="AM111" i="3" s="1"/>
  <c r="AM112" i="3" s="1"/>
  <c r="AM113" i="3" s="1"/>
  <c r="AM114" i="3" s="1"/>
  <c r="AM115" i="3" s="1"/>
  <c r="AM116" i="3" s="1"/>
  <c r="AM117" i="3" s="1"/>
  <c r="AM118" i="3" s="1"/>
  <c r="AM119" i="3" s="1"/>
  <c r="AM120" i="3" s="1"/>
  <c r="AM121" i="3" s="1"/>
  <c r="AM122" i="3" s="1"/>
  <c r="AM123" i="3" s="1"/>
  <c r="AM124" i="3" s="1"/>
  <c r="AM125" i="3" s="1"/>
  <c r="AM3" i="3"/>
  <c r="AK4" i="3"/>
  <c r="AK5" i="3" s="1"/>
  <c r="AK6" i="3" s="1"/>
  <c r="AK7" i="3" s="1"/>
  <c r="AK8" i="3" s="1"/>
  <c r="AK9" i="3" s="1"/>
  <c r="AK10" i="3" s="1"/>
  <c r="AK11" i="3" s="1"/>
  <c r="AK12" i="3" s="1"/>
  <c r="AK13" i="3" s="1"/>
  <c r="AK14" i="3" s="1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AK103" i="3" s="1"/>
  <c r="AK104" i="3" s="1"/>
  <c r="AK105" i="3" s="1"/>
  <c r="AK106" i="3" s="1"/>
  <c r="AK107" i="3" s="1"/>
  <c r="AK108" i="3" s="1"/>
  <c r="AK109" i="3" s="1"/>
  <c r="AK110" i="3" s="1"/>
  <c r="AK111" i="3" s="1"/>
  <c r="AK112" i="3" s="1"/>
  <c r="AK113" i="3" s="1"/>
  <c r="AK114" i="3" s="1"/>
  <c r="AK115" i="3" s="1"/>
  <c r="AK116" i="3" s="1"/>
  <c r="AK117" i="3" s="1"/>
  <c r="AK118" i="3" s="1"/>
  <c r="AK119" i="3" s="1"/>
  <c r="AK120" i="3" s="1"/>
  <c r="AK121" i="3" s="1"/>
  <c r="AK122" i="3" s="1"/>
  <c r="AK123" i="3" s="1"/>
  <c r="AK124" i="3" s="1"/>
  <c r="AK125" i="3" s="1"/>
  <c r="AK3" i="3"/>
  <c r="AI4" i="3"/>
  <c r="AI5" i="3" s="1"/>
  <c r="AI6" i="3" s="1"/>
  <c r="AI7" i="3" s="1"/>
  <c r="AI8" i="3" s="1"/>
  <c r="AI9" i="3" s="1"/>
  <c r="AI10" i="3" s="1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AI105" i="3" s="1"/>
  <c r="AI106" i="3" s="1"/>
  <c r="AI107" i="3" s="1"/>
  <c r="AI108" i="3" s="1"/>
  <c r="AI109" i="3" s="1"/>
  <c r="AI110" i="3" s="1"/>
  <c r="AI111" i="3" s="1"/>
  <c r="AI112" i="3" s="1"/>
  <c r="AI113" i="3" s="1"/>
  <c r="AI114" i="3" s="1"/>
  <c r="AI115" i="3" s="1"/>
  <c r="AI116" i="3" s="1"/>
  <c r="AI117" i="3" s="1"/>
  <c r="AI118" i="3" s="1"/>
  <c r="AI119" i="3" s="1"/>
  <c r="AI120" i="3" s="1"/>
  <c r="AI121" i="3" s="1"/>
  <c r="AI122" i="3" s="1"/>
  <c r="AI123" i="3" s="1"/>
  <c r="AI124" i="3" s="1"/>
  <c r="AI125" i="3" s="1"/>
  <c r="AI3" i="3"/>
  <c r="AG4" i="3"/>
  <c r="AG5" i="3" s="1"/>
  <c r="AG6" i="3" s="1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AG105" i="3" s="1"/>
  <c r="AG106" i="3" s="1"/>
  <c r="AG107" i="3" s="1"/>
  <c r="AG108" i="3" s="1"/>
  <c r="AG109" i="3" s="1"/>
  <c r="AG110" i="3" s="1"/>
  <c r="AG111" i="3" s="1"/>
  <c r="AG112" i="3" s="1"/>
  <c r="AG113" i="3" s="1"/>
  <c r="AG114" i="3" s="1"/>
  <c r="AG115" i="3" s="1"/>
  <c r="AG116" i="3" s="1"/>
  <c r="AG117" i="3" s="1"/>
  <c r="AG118" i="3" s="1"/>
  <c r="AG119" i="3" s="1"/>
  <c r="AG120" i="3" s="1"/>
  <c r="AG121" i="3" s="1"/>
  <c r="AG122" i="3" s="1"/>
  <c r="AG123" i="3" s="1"/>
  <c r="AG124" i="3" s="1"/>
  <c r="AG125" i="3" s="1"/>
  <c r="AG3" i="3"/>
  <c r="AE4" i="3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AE105" i="3" s="1"/>
  <c r="AE106" i="3" s="1"/>
  <c r="AE107" i="3" s="1"/>
  <c r="AE108" i="3" s="1"/>
  <c r="AE109" i="3" s="1"/>
  <c r="AE110" i="3" s="1"/>
  <c r="AE111" i="3" s="1"/>
  <c r="AE112" i="3" s="1"/>
  <c r="AE113" i="3" s="1"/>
  <c r="AE114" i="3" s="1"/>
  <c r="AE115" i="3" s="1"/>
  <c r="AE116" i="3" s="1"/>
  <c r="AE117" i="3" s="1"/>
  <c r="AE118" i="3" s="1"/>
  <c r="AE119" i="3" s="1"/>
  <c r="AE120" i="3" s="1"/>
  <c r="AE121" i="3" s="1"/>
  <c r="AE122" i="3" s="1"/>
  <c r="AE123" i="3" s="1"/>
  <c r="AE124" i="3" s="1"/>
  <c r="AE125" i="3" s="1"/>
  <c r="AE3" i="3"/>
  <c r="AC4" i="3"/>
  <c r="AC5" i="3" s="1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AC105" i="3" s="1"/>
  <c r="AC106" i="3" s="1"/>
  <c r="AC107" i="3" s="1"/>
  <c r="AC108" i="3" s="1"/>
  <c r="AC109" i="3" s="1"/>
  <c r="AC110" i="3" s="1"/>
  <c r="AC111" i="3" s="1"/>
  <c r="AC112" i="3" s="1"/>
  <c r="AC113" i="3" s="1"/>
  <c r="AC114" i="3" s="1"/>
  <c r="AC115" i="3" s="1"/>
  <c r="AC116" i="3" s="1"/>
  <c r="AC117" i="3" s="1"/>
  <c r="AC118" i="3" s="1"/>
  <c r="AC119" i="3" s="1"/>
  <c r="AC120" i="3" s="1"/>
  <c r="AC121" i="3" s="1"/>
  <c r="AC122" i="3" s="1"/>
  <c r="AC123" i="3" s="1"/>
  <c r="AC124" i="3" s="1"/>
  <c r="AC125" i="3" s="1"/>
  <c r="AC3" i="3"/>
  <c r="AA4" i="3"/>
  <c r="AA5" i="3" s="1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AA105" i="3" s="1"/>
  <c r="AA106" i="3" s="1"/>
  <c r="AA107" i="3" s="1"/>
  <c r="AA108" i="3" s="1"/>
  <c r="AA109" i="3" s="1"/>
  <c r="AA110" i="3" s="1"/>
  <c r="AA111" i="3" s="1"/>
  <c r="AA112" i="3" s="1"/>
  <c r="AA113" i="3" s="1"/>
  <c r="AA114" i="3" s="1"/>
  <c r="AA115" i="3" s="1"/>
  <c r="AA116" i="3" s="1"/>
  <c r="AA117" i="3" s="1"/>
  <c r="AA118" i="3" s="1"/>
  <c r="AA119" i="3" s="1"/>
  <c r="AA120" i="3" s="1"/>
  <c r="AA121" i="3" s="1"/>
  <c r="AA122" i="3" s="1"/>
  <c r="AA123" i="3" s="1"/>
  <c r="AA124" i="3" s="1"/>
  <c r="AA125" i="3" s="1"/>
  <c r="AA3" i="3"/>
  <c r="Y4" i="3"/>
  <c r="Y5" i="3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Y105" i="3" s="1"/>
  <c r="Y106" i="3" s="1"/>
  <c r="Y107" i="3" s="1"/>
  <c r="Y108" i="3" s="1"/>
  <c r="Y109" i="3" s="1"/>
  <c r="Y110" i="3" s="1"/>
  <c r="Y111" i="3" s="1"/>
  <c r="Y112" i="3" s="1"/>
  <c r="Y113" i="3" s="1"/>
  <c r="Y114" i="3" s="1"/>
  <c r="Y115" i="3" s="1"/>
  <c r="Y116" i="3" s="1"/>
  <c r="Y117" i="3" s="1"/>
  <c r="Y118" i="3" s="1"/>
  <c r="Y119" i="3" s="1"/>
  <c r="Y120" i="3" s="1"/>
  <c r="Y121" i="3" s="1"/>
  <c r="Y122" i="3" s="1"/>
  <c r="Y123" i="3" s="1"/>
  <c r="Y124" i="3" s="1"/>
  <c r="Y125" i="3" s="1"/>
  <c r="Y3" i="3"/>
  <c r="W4" i="3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W105" i="3" s="1"/>
  <c r="W106" i="3" s="1"/>
  <c r="W107" i="3" s="1"/>
  <c r="W108" i="3" s="1"/>
  <c r="W109" i="3" s="1"/>
  <c r="W110" i="3" s="1"/>
  <c r="W111" i="3" s="1"/>
  <c r="W112" i="3" s="1"/>
  <c r="W113" i="3" s="1"/>
  <c r="W114" i="3" s="1"/>
  <c r="W115" i="3" s="1"/>
  <c r="W116" i="3" s="1"/>
  <c r="W117" i="3" s="1"/>
  <c r="W118" i="3" s="1"/>
  <c r="W119" i="3" s="1"/>
  <c r="W120" i="3" s="1"/>
  <c r="W121" i="3" s="1"/>
  <c r="W122" i="3" s="1"/>
  <c r="W123" i="3" s="1"/>
  <c r="W124" i="3" s="1"/>
  <c r="W125" i="3" s="1"/>
  <c r="W3" i="3"/>
  <c r="U4" i="3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U105" i="3" s="1"/>
  <c r="U106" i="3" s="1"/>
  <c r="U107" i="3" s="1"/>
  <c r="U108" i="3" s="1"/>
  <c r="U109" i="3" s="1"/>
  <c r="U110" i="3" s="1"/>
  <c r="U111" i="3" s="1"/>
  <c r="U112" i="3" s="1"/>
  <c r="U113" i="3" s="1"/>
  <c r="U114" i="3" s="1"/>
  <c r="U115" i="3" s="1"/>
  <c r="U116" i="3" s="1"/>
  <c r="U117" i="3" s="1"/>
  <c r="U118" i="3" s="1"/>
  <c r="U119" i="3" s="1"/>
  <c r="U120" i="3" s="1"/>
  <c r="U121" i="3" s="1"/>
  <c r="U122" i="3" s="1"/>
  <c r="U123" i="3" s="1"/>
  <c r="U124" i="3" s="1"/>
  <c r="U125" i="3" s="1"/>
  <c r="U3" i="3"/>
  <c r="S4" i="3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S105" i="3" s="1"/>
  <c r="S106" i="3" s="1"/>
  <c r="S107" i="3" s="1"/>
  <c r="S108" i="3" s="1"/>
  <c r="S109" i="3" s="1"/>
  <c r="S110" i="3" s="1"/>
  <c r="S111" i="3" s="1"/>
  <c r="S112" i="3" s="1"/>
  <c r="S113" i="3" s="1"/>
  <c r="S114" i="3" s="1"/>
  <c r="S115" i="3" s="1"/>
  <c r="S116" i="3" s="1"/>
  <c r="S117" i="3" s="1"/>
  <c r="S118" i="3" s="1"/>
  <c r="S119" i="3" s="1"/>
  <c r="S120" i="3" s="1"/>
  <c r="S121" i="3" s="1"/>
  <c r="S122" i="3" s="1"/>
  <c r="S123" i="3" s="1"/>
  <c r="S124" i="3" s="1"/>
  <c r="S125" i="3" s="1"/>
  <c r="S3" i="3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Q112" i="3" s="1"/>
  <c r="Q113" i="3" s="1"/>
  <c r="Q114" i="3" s="1"/>
  <c r="Q115" i="3" s="1"/>
  <c r="Q116" i="3" s="1"/>
  <c r="Q117" i="3" s="1"/>
  <c r="Q118" i="3" s="1"/>
  <c r="Q119" i="3" s="1"/>
  <c r="Q120" i="3" s="1"/>
  <c r="Q121" i="3" s="1"/>
  <c r="Q122" i="3" s="1"/>
  <c r="Q123" i="3" s="1"/>
  <c r="Q124" i="3" s="1"/>
  <c r="Q125" i="3" s="1"/>
  <c r="Q3" i="3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3" i="3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115" i="3" s="1"/>
  <c r="M116" i="3" s="1"/>
  <c r="M117" i="3" s="1"/>
  <c r="M118" i="3" s="1"/>
  <c r="M119" i="3" s="1"/>
  <c r="M120" i="3" s="1"/>
  <c r="M121" i="3" s="1"/>
  <c r="M122" i="3" s="1"/>
  <c r="M123" i="3" s="1"/>
  <c r="M124" i="3" s="1"/>
  <c r="M125" i="3" s="1"/>
  <c r="M3" i="3"/>
  <c r="K4" i="3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114" i="3" s="1"/>
  <c r="K115" i="3" s="1"/>
  <c r="K116" i="3" s="1"/>
  <c r="K117" i="3" s="1"/>
  <c r="K118" i="3" s="1"/>
  <c r="K119" i="3" s="1"/>
  <c r="K120" i="3" s="1"/>
  <c r="K121" i="3" s="1"/>
  <c r="K122" i="3" s="1"/>
  <c r="K123" i="3" s="1"/>
  <c r="K124" i="3" s="1"/>
  <c r="K125" i="3" s="1"/>
  <c r="K3" i="3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3" i="3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D126" i="3"/>
  <c r="F126" i="3"/>
  <c r="H126" i="3"/>
  <c r="J126" i="3"/>
  <c r="L126" i="3"/>
  <c r="N126" i="3"/>
  <c r="P126" i="3"/>
  <c r="R126" i="3"/>
  <c r="T126" i="3"/>
  <c r="V126" i="3"/>
  <c r="X126" i="3"/>
  <c r="Z126" i="3"/>
  <c r="AB126" i="3"/>
  <c r="AD126" i="3"/>
  <c r="AF126" i="3"/>
  <c r="AH126" i="3"/>
  <c r="AJ126" i="3"/>
  <c r="AL126" i="3"/>
  <c r="AN126" i="3"/>
  <c r="B126" i="3"/>
  <c r="C126" i="3" l="1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C5" i="2" l="1"/>
  <c r="C4" i="2"/>
  <c r="C3" i="2"/>
  <c r="C2" i="2"/>
  <c r="F5" i="2" l="1"/>
  <c r="F3" i="2"/>
  <c r="D13" i="2" l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E11" i="2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l="1"/>
  <c r="E28" i="2" s="1"/>
  <c r="E29" i="2" s="1"/>
  <c r="E30" i="2" s="1"/>
  <c r="E31" i="2" s="1"/>
  <c r="E32" i="2" s="1"/>
  <c r="E33" i="2" s="1"/>
  <c r="E34" i="2" s="1"/>
  <c r="E35" i="2" s="1"/>
  <c r="D74" i="2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E36" i="2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l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</calcChain>
</file>

<file path=xl/sharedStrings.xml><?xml version="1.0" encoding="utf-8"?>
<sst xmlns="http://schemas.openxmlformats.org/spreadsheetml/2006/main" count="16" uniqueCount="16">
  <si>
    <t>Day</t>
  </si>
  <si>
    <t>average</t>
  </si>
  <si>
    <t>Inputs</t>
  </si>
  <si>
    <t>Calculations</t>
  </si>
  <si>
    <t>S Value</t>
  </si>
  <si>
    <t>Average</t>
  </si>
  <si>
    <t>Factor for C</t>
  </si>
  <si>
    <t>July-Aug min</t>
  </si>
  <si>
    <t>July-Aug max</t>
  </si>
  <si>
    <t>N</t>
  </si>
  <si>
    <t>Signal</t>
  </si>
  <si>
    <t>July-Aug SD</t>
  </si>
  <si>
    <t>SDs for T</t>
  </si>
  <si>
    <t>C</t>
  </si>
  <si>
    <t>T</t>
  </si>
  <si>
    <t>End of summer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</si>
</sst>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6" fontId="0" fillId="0" borderId="0" xfId="0" applyNumberFormat="1"/>
    <xf numFmtId="4" fontId="0" fillId="0" borderId="0" xfId="0" applyNumberFormat="1"/>
    <xf numFmtId="0" fontId="16" fillId="0" borderId="0" xfId="0" applyFont="1"/>
    <xf numFmtId="0" fontId="18" fillId="0" borderId="0" xfId="0" applyFont="1" applyAlignment="1">
      <alignment horizontal="center"/>
    </xf>
    <xf numFmtId="0" fontId="20" fillId="33" borderId="0" xfId="0" applyFont="1" applyFill="1" applyAlignment="1">
      <alignment horizontal="center"/>
    </xf>
    <xf numFmtId="0" fontId="19" fillId="0" borderId="0" xfId="0" applyFont="1" applyFill="1"/>
    <xf numFmtId="0" fontId="0" fillId="0" borderId="0" xfId="0" applyAlignment="1">
      <alignment horizontal="center"/>
    </xf>
    <xf numFmtId="16" fontId="21" fillId="0" borderId="0" xfId="0" applyNumberFormat="1" applyFont="1"/>
    <xf numFmtId="4" fontId="0" fillId="34" borderId="0" xfId="0" applyNumberFormat="1" applyFill="1"/>
    <xf numFmtId="0" fontId="0" fillId="0" borderId="10" xfId="0" applyBorder="1"/>
    <xf numFmtId="0" fontId="19" fillId="0" borderId="10" xfId="0" applyFont="1" applyFill="1" applyBorder="1"/>
    <xf numFmtId="0" fontId="16" fillId="0" borderId="11" xfId="0" applyFont="1" applyBorder="1"/>
    <xf numFmtId="0" fontId="16" fillId="0" borderId="12" xfId="0" applyFont="1" applyBorder="1"/>
    <xf numFmtId="0" fontId="0" fillId="0" borderId="11" xfId="0" applyBorder="1"/>
    <xf numFmtId="164" fontId="0" fillId="0" borderId="11" xfId="0" applyNumberFormat="1" applyBorder="1"/>
    <xf numFmtId="164" fontId="0" fillId="0" borderId="0" xfId="0" applyNumberFormat="1"/>
    <xf numFmtId="0" fontId="22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1996-2015_VALID_PLOT'!$A$2</c:f>
              <c:strCache>
                <c:ptCount val="1"/>
                <c:pt idx="0">
                  <c:v>End of summer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'DATA 1996-2015_VALID_PLOT'!$B$1:$U$1</c:f>
              <c:numCache>
                <c:formatCode>General</c:formatCode>
                <c:ptCount val="20"/>
                <c:pt idx="0">
                  <c:v>1996</c:v>
                </c:pt>
                <c:pt idx="1">
                  <c:v>1997</c:v>
                </c:pt>
                <c:pt idx="2">
                  <c:v>1998</c:v>
                </c:pt>
                <c:pt idx="3">
                  <c:v>1999</c:v>
                </c:pt>
                <c:pt idx="4">
                  <c:v>2000</c:v>
                </c:pt>
                <c:pt idx="5">
                  <c:v>2001</c:v>
                </c:pt>
                <c:pt idx="6">
                  <c:v>2002</c:v>
                </c:pt>
                <c:pt idx="7">
                  <c:v>2003</c:v>
                </c:pt>
                <c:pt idx="8">
                  <c:v>2004</c:v>
                </c:pt>
                <c:pt idx="9">
                  <c:v>2005</c:v>
                </c:pt>
                <c:pt idx="10">
                  <c:v>2006</c:v>
                </c:pt>
                <c:pt idx="11">
                  <c:v>2007</c:v>
                </c:pt>
                <c:pt idx="12">
                  <c:v>2008</c:v>
                </c:pt>
                <c:pt idx="13">
                  <c:v>2009</c:v>
                </c:pt>
                <c:pt idx="14">
                  <c:v>2010</c:v>
                </c:pt>
                <c:pt idx="15">
                  <c:v>2011</c:v>
                </c:pt>
                <c:pt idx="16">
                  <c:v>2012</c:v>
                </c:pt>
                <c:pt idx="17">
                  <c:v>2013</c:v>
                </c:pt>
                <c:pt idx="18">
                  <c:v>2014</c:v>
                </c:pt>
                <c:pt idx="19">
                  <c:v>2015</c:v>
                </c:pt>
              </c:numCache>
            </c:numRef>
          </c:cat>
          <c:val>
            <c:numRef>
              <c:f>'DATA 1996-2015_VALID_PLOT'!$B$2:$U$2</c:f>
              <c:numCache>
                <c:formatCode>d\-mmm</c:formatCode>
                <c:ptCount val="20"/>
                <c:pt idx="0">
                  <c:v>43727</c:v>
                </c:pt>
                <c:pt idx="1">
                  <c:v>43733</c:v>
                </c:pt>
                <c:pt idx="2">
                  <c:v>43737</c:v>
                </c:pt>
                <c:pt idx="3">
                  <c:v>43728</c:v>
                </c:pt>
                <c:pt idx="4">
                  <c:v>43714</c:v>
                </c:pt>
                <c:pt idx="5">
                  <c:v>43733</c:v>
                </c:pt>
                <c:pt idx="6">
                  <c:v>43732</c:v>
                </c:pt>
                <c:pt idx="7">
                  <c:v>43736</c:v>
                </c:pt>
                <c:pt idx="8">
                  <c:v>43724</c:v>
                </c:pt>
                <c:pt idx="9">
                  <c:v>43745</c:v>
                </c:pt>
                <c:pt idx="10">
                  <c:v>43728</c:v>
                </c:pt>
                <c:pt idx="11">
                  <c:v>43725</c:v>
                </c:pt>
                <c:pt idx="12">
                  <c:v>43727</c:v>
                </c:pt>
                <c:pt idx="13">
                  <c:v>43727</c:v>
                </c:pt>
                <c:pt idx="14">
                  <c:v>43736</c:v>
                </c:pt>
                <c:pt idx="15">
                  <c:v>43714</c:v>
                </c:pt>
                <c:pt idx="16">
                  <c:v>43728</c:v>
                </c:pt>
                <c:pt idx="17">
                  <c:v>43693</c:v>
                </c:pt>
                <c:pt idx="18">
                  <c:v>43733</c:v>
                </c:pt>
                <c:pt idx="19">
                  <c:v>43723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8C-6143-A879-95DA349AC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072240"/>
        <c:axId val="1566727296"/>
      </c:lineChart>
      <c:catAx>
        <c:axId val="167807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727296"/>
        <c:crosses val="autoZero"/>
        <c:auto val="1"/>
        <c:lblAlgn val="ctr"/>
        <c:lblOffset val="100"/>
        <c:noMultiLvlLbl val="0"/>
      </c:catAx>
      <c:valAx>
        <c:axId val="156672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07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374650</xdr:colOff>
      <xdr:row>4</xdr:row>
      <xdr:rowOff>190500</xdr:rowOff>
    </xdr:from>
    <xdr:to>
      <xdr:col>15</xdr:col>
      <xdr:colOff>444500</xdr:colOff>
      <xdr:row>26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F5107B-8A6A-9A47-B255-67B2DE45E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124"/>
  <sheetViews>
    <sheetView tabSelected="1" workbookViewId="0">
      <selection activeCell="K21" sqref="K21"/>
    </sheetView>
  </sheetViews>
  <sheetFormatPr baseColWidth="10" defaultRowHeight="16" x14ac:dyDescent="0.2"/>
  <cols>
    <col min="2" max="21" width="5.1640625" bestFit="1" customWidth="1"/>
  </cols>
  <sheetData>
    <row r="1" spans="1:21" x14ac:dyDescent="0.2">
      <c r="B1" s="3">
        <v>1996</v>
      </c>
      <c r="C1" s="3">
        <v>1997</v>
      </c>
      <c r="D1" s="3">
        <v>1998</v>
      </c>
      <c r="E1" s="3">
        <v>1999</v>
      </c>
      <c r="F1" s="3">
        <v>2000</v>
      </c>
      <c r="G1" s="3">
        <v>2001</v>
      </c>
      <c r="H1" s="3">
        <v>2002</v>
      </c>
      <c r="I1" s="3">
        <v>2003</v>
      </c>
      <c r="J1" s="3">
        <v>2004</v>
      </c>
      <c r="K1" s="3">
        <v>2005</v>
      </c>
      <c r="L1" s="3">
        <v>2006</v>
      </c>
      <c r="M1" s="3">
        <v>2007</v>
      </c>
      <c r="N1" s="3">
        <v>2008</v>
      </c>
      <c r="O1" s="3">
        <v>2009</v>
      </c>
      <c r="P1" s="3">
        <v>2010</v>
      </c>
      <c r="Q1" s="3">
        <v>2011</v>
      </c>
      <c r="R1" s="3">
        <v>2012</v>
      </c>
      <c r="S1" s="3">
        <v>2013</v>
      </c>
      <c r="T1" s="3">
        <v>2014</v>
      </c>
      <c r="U1" s="3">
        <v>2015</v>
      </c>
    </row>
    <row r="2" spans="1:21" x14ac:dyDescent="0.2">
      <c r="A2" s="8">
        <v>43647</v>
      </c>
      <c r="B2">
        <v>98</v>
      </c>
      <c r="C2">
        <v>86</v>
      </c>
      <c r="D2">
        <v>91</v>
      </c>
      <c r="E2">
        <v>84</v>
      </c>
      <c r="F2">
        <v>89</v>
      </c>
      <c r="G2">
        <v>84</v>
      </c>
      <c r="H2">
        <v>90</v>
      </c>
      <c r="I2">
        <v>73</v>
      </c>
      <c r="J2">
        <v>82</v>
      </c>
      <c r="K2">
        <v>91</v>
      </c>
      <c r="L2">
        <v>93</v>
      </c>
      <c r="M2">
        <v>95</v>
      </c>
      <c r="N2">
        <v>85</v>
      </c>
      <c r="O2">
        <v>95</v>
      </c>
      <c r="P2">
        <v>87</v>
      </c>
      <c r="Q2">
        <v>92</v>
      </c>
      <c r="R2">
        <v>105</v>
      </c>
      <c r="S2">
        <v>82</v>
      </c>
      <c r="T2">
        <v>90</v>
      </c>
      <c r="U2">
        <v>85</v>
      </c>
    </row>
    <row r="3" spans="1:21" x14ac:dyDescent="0.2">
      <c r="A3" s="8">
        <v>43648</v>
      </c>
      <c r="B3">
        <v>97</v>
      </c>
      <c r="C3">
        <v>90</v>
      </c>
      <c r="D3">
        <v>88</v>
      </c>
      <c r="E3">
        <v>82</v>
      </c>
      <c r="F3">
        <v>91</v>
      </c>
      <c r="G3">
        <v>87</v>
      </c>
      <c r="H3">
        <v>90</v>
      </c>
      <c r="I3">
        <v>81</v>
      </c>
      <c r="J3">
        <v>81</v>
      </c>
      <c r="K3">
        <v>89</v>
      </c>
      <c r="L3">
        <v>93</v>
      </c>
      <c r="M3">
        <v>85</v>
      </c>
      <c r="N3">
        <v>87</v>
      </c>
      <c r="O3">
        <v>90</v>
      </c>
      <c r="P3">
        <v>84</v>
      </c>
      <c r="Q3">
        <v>94</v>
      </c>
      <c r="R3">
        <v>93</v>
      </c>
      <c r="S3">
        <v>85</v>
      </c>
      <c r="T3">
        <v>93</v>
      </c>
      <c r="U3">
        <v>87</v>
      </c>
    </row>
    <row r="4" spans="1:21" x14ac:dyDescent="0.2">
      <c r="A4" s="8">
        <v>43649</v>
      </c>
      <c r="B4">
        <v>97</v>
      </c>
      <c r="C4">
        <v>93</v>
      </c>
      <c r="D4">
        <v>91</v>
      </c>
      <c r="E4">
        <v>87</v>
      </c>
      <c r="F4">
        <v>93</v>
      </c>
      <c r="G4">
        <v>87</v>
      </c>
      <c r="H4">
        <v>87</v>
      </c>
      <c r="I4">
        <v>87</v>
      </c>
      <c r="J4">
        <v>86</v>
      </c>
      <c r="K4">
        <v>86</v>
      </c>
      <c r="L4">
        <v>93</v>
      </c>
      <c r="M4">
        <v>82</v>
      </c>
      <c r="N4">
        <v>91</v>
      </c>
      <c r="O4">
        <v>89</v>
      </c>
      <c r="P4">
        <v>83</v>
      </c>
      <c r="Q4">
        <v>95</v>
      </c>
      <c r="R4">
        <v>99</v>
      </c>
      <c r="S4">
        <v>76</v>
      </c>
      <c r="T4">
        <v>87</v>
      </c>
      <c r="U4">
        <v>79</v>
      </c>
    </row>
    <row r="5" spans="1:21" x14ac:dyDescent="0.2">
      <c r="A5" s="8">
        <v>43650</v>
      </c>
      <c r="B5">
        <v>90</v>
      </c>
      <c r="C5">
        <v>91</v>
      </c>
      <c r="D5">
        <v>91</v>
      </c>
      <c r="E5">
        <v>88</v>
      </c>
      <c r="F5">
        <v>95</v>
      </c>
      <c r="G5">
        <v>84</v>
      </c>
      <c r="H5">
        <v>89</v>
      </c>
      <c r="I5">
        <v>86</v>
      </c>
      <c r="J5">
        <v>88</v>
      </c>
      <c r="K5">
        <v>86</v>
      </c>
      <c r="L5">
        <v>91</v>
      </c>
      <c r="M5">
        <v>86</v>
      </c>
      <c r="N5">
        <v>90</v>
      </c>
      <c r="O5">
        <v>91</v>
      </c>
      <c r="P5">
        <v>85</v>
      </c>
      <c r="Q5">
        <v>92</v>
      </c>
      <c r="R5">
        <v>98</v>
      </c>
      <c r="S5">
        <v>77</v>
      </c>
      <c r="T5">
        <v>84</v>
      </c>
      <c r="U5">
        <v>85</v>
      </c>
    </row>
    <row r="6" spans="1:21" x14ac:dyDescent="0.2">
      <c r="A6" s="8">
        <v>43651</v>
      </c>
      <c r="B6">
        <v>89</v>
      </c>
      <c r="C6">
        <v>84</v>
      </c>
      <c r="D6">
        <v>91</v>
      </c>
      <c r="E6">
        <v>90</v>
      </c>
      <c r="F6">
        <v>96</v>
      </c>
      <c r="G6">
        <v>86</v>
      </c>
      <c r="H6">
        <v>93</v>
      </c>
      <c r="I6">
        <v>80</v>
      </c>
      <c r="J6">
        <v>90</v>
      </c>
      <c r="K6">
        <v>89</v>
      </c>
      <c r="L6">
        <v>90</v>
      </c>
      <c r="M6">
        <v>88</v>
      </c>
      <c r="N6">
        <v>88</v>
      </c>
      <c r="O6">
        <v>80</v>
      </c>
      <c r="P6">
        <v>88</v>
      </c>
      <c r="Q6">
        <v>90</v>
      </c>
      <c r="R6">
        <v>100</v>
      </c>
      <c r="S6">
        <v>83</v>
      </c>
      <c r="T6">
        <v>86</v>
      </c>
      <c r="U6">
        <v>84</v>
      </c>
    </row>
    <row r="7" spans="1:21" x14ac:dyDescent="0.2">
      <c r="A7" s="8">
        <v>43652</v>
      </c>
      <c r="B7">
        <v>93</v>
      </c>
      <c r="C7">
        <v>84</v>
      </c>
      <c r="D7">
        <v>89</v>
      </c>
      <c r="E7">
        <v>91</v>
      </c>
      <c r="F7">
        <v>96</v>
      </c>
      <c r="G7">
        <v>87</v>
      </c>
      <c r="H7">
        <v>93</v>
      </c>
      <c r="I7">
        <v>84</v>
      </c>
      <c r="J7">
        <v>90</v>
      </c>
      <c r="K7">
        <v>82</v>
      </c>
      <c r="L7">
        <v>81</v>
      </c>
      <c r="M7">
        <v>87</v>
      </c>
      <c r="N7">
        <v>82</v>
      </c>
      <c r="O7">
        <v>87</v>
      </c>
      <c r="P7">
        <v>89</v>
      </c>
      <c r="Q7">
        <v>90</v>
      </c>
      <c r="R7">
        <v>98</v>
      </c>
      <c r="S7">
        <v>83</v>
      </c>
      <c r="T7">
        <v>87</v>
      </c>
      <c r="U7">
        <v>84</v>
      </c>
    </row>
    <row r="8" spans="1:21" x14ac:dyDescent="0.2">
      <c r="A8" s="8">
        <v>43653</v>
      </c>
      <c r="B8">
        <v>93</v>
      </c>
      <c r="C8">
        <v>75</v>
      </c>
      <c r="D8">
        <v>93</v>
      </c>
      <c r="E8">
        <v>82</v>
      </c>
      <c r="F8">
        <v>96</v>
      </c>
      <c r="G8">
        <v>87</v>
      </c>
      <c r="H8">
        <v>89</v>
      </c>
      <c r="I8">
        <v>87</v>
      </c>
      <c r="J8">
        <v>89</v>
      </c>
      <c r="K8">
        <v>76</v>
      </c>
      <c r="L8">
        <v>80</v>
      </c>
      <c r="M8">
        <v>82</v>
      </c>
      <c r="N8">
        <v>88</v>
      </c>
      <c r="O8">
        <v>86</v>
      </c>
      <c r="P8">
        <v>94</v>
      </c>
      <c r="Q8">
        <v>94</v>
      </c>
      <c r="R8">
        <v>93</v>
      </c>
      <c r="S8">
        <v>79</v>
      </c>
      <c r="T8">
        <v>89</v>
      </c>
      <c r="U8">
        <v>90</v>
      </c>
    </row>
    <row r="9" spans="1:21" x14ac:dyDescent="0.2">
      <c r="A9" s="8">
        <v>43654</v>
      </c>
      <c r="B9">
        <v>91</v>
      </c>
      <c r="C9">
        <v>87</v>
      </c>
      <c r="D9">
        <v>95</v>
      </c>
      <c r="E9">
        <v>86</v>
      </c>
      <c r="F9">
        <v>91</v>
      </c>
      <c r="G9">
        <v>89</v>
      </c>
      <c r="H9">
        <v>89</v>
      </c>
      <c r="I9">
        <v>90</v>
      </c>
      <c r="J9">
        <v>87</v>
      </c>
      <c r="K9">
        <v>88</v>
      </c>
      <c r="L9">
        <v>82</v>
      </c>
      <c r="M9">
        <v>82</v>
      </c>
      <c r="N9">
        <v>90</v>
      </c>
      <c r="O9">
        <v>82</v>
      </c>
      <c r="P9">
        <v>97</v>
      </c>
      <c r="Q9">
        <v>94</v>
      </c>
      <c r="R9">
        <v>95</v>
      </c>
      <c r="S9">
        <v>88</v>
      </c>
      <c r="T9">
        <v>90</v>
      </c>
      <c r="U9">
        <v>90</v>
      </c>
    </row>
    <row r="10" spans="1:21" x14ac:dyDescent="0.2">
      <c r="A10" s="8">
        <v>43655</v>
      </c>
      <c r="B10">
        <v>93</v>
      </c>
      <c r="C10">
        <v>84</v>
      </c>
      <c r="D10">
        <v>95</v>
      </c>
      <c r="E10">
        <v>87</v>
      </c>
      <c r="F10">
        <v>96</v>
      </c>
      <c r="G10">
        <v>91</v>
      </c>
      <c r="H10">
        <v>90</v>
      </c>
      <c r="I10">
        <v>89</v>
      </c>
      <c r="J10">
        <v>88</v>
      </c>
      <c r="K10">
        <v>89</v>
      </c>
      <c r="L10">
        <v>84</v>
      </c>
      <c r="M10">
        <v>89</v>
      </c>
      <c r="N10">
        <v>89</v>
      </c>
      <c r="O10">
        <v>84</v>
      </c>
      <c r="P10">
        <v>96</v>
      </c>
      <c r="Q10">
        <v>91</v>
      </c>
      <c r="R10">
        <v>97</v>
      </c>
      <c r="S10">
        <v>88</v>
      </c>
      <c r="T10">
        <v>90</v>
      </c>
      <c r="U10">
        <v>91</v>
      </c>
    </row>
    <row r="11" spans="1:21" x14ac:dyDescent="0.2">
      <c r="A11" s="8">
        <v>43656</v>
      </c>
      <c r="B11">
        <v>93</v>
      </c>
      <c r="C11">
        <v>87</v>
      </c>
      <c r="D11">
        <v>91</v>
      </c>
      <c r="E11">
        <v>87</v>
      </c>
      <c r="F11">
        <v>99</v>
      </c>
      <c r="G11">
        <v>87</v>
      </c>
      <c r="H11">
        <v>91</v>
      </c>
      <c r="I11">
        <v>84</v>
      </c>
      <c r="J11">
        <v>89</v>
      </c>
      <c r="K11">
        <v>78</v>
      </c>
      <c r="L11">
        <v>84</v>
      </c>
      <c r="M11">
        <v>86</v>
      </c>
      <c r="N11">
        <v>87</v>
      </c>
      <c r="O11">
        <v>84</v>
      </c>
      <c r="P11">
        <v>90</v>
      </c>
      <c r="Q11">
        <v>92</v>
      </c>
      <c r="R11">
        <v>95</v>
      </c>
      <c r="S11">
        <v>87</v>
      </c>
      <c r="T11">
        <v>87</v>
      </c>
      <c r="U11">
        <v>93</v>
      </c>
    </row>
    <row r="12" spans="1:21" x14ac:dyDescent="0.2">
      <c r="A12" s="8">
        <v>43657</v>
      </c>
      <c r="B12">
        <v>90</v>
      </c>
      <c r="C12">
        <v>84</v>
      </c>
      <c r="D12">
        <v>91</v>
      </c>
      <c r="E12">
        <v>82</v>
      </c>
      <c r="F12">
        <v>96</v>
      </c>
      <c r="G12">
        <v>90</v>
      </c>
      <c r="H12">
        <v>84</v>
      </c>
      <c r="I12">
        <v>84</v>
      </c>
      <c r="J12">
        <v>90</v>
      </c>
      <c r="K12">
        <v>83</v>
      </c>
      <c r="L12">
        <v>90</v>
      </c>
      <c r="M12">
        <v>85</v>
      </c>
      <c r="N12">
        <v>89</v>
      </c>
      <c r="O12">
        <v>86</v>
      </c>
      <c r="P12">
        <v>93</v>
      </c>
      <c r="Q12">
        <v>95</v>
      </c>
      <c r="R12">
        <v>90</v>
      </c>
      <c r="S12">
        <v>80</v>
      </c>
      <c r="T12">
        <v>85</v>
      </c>
      <c r="U12">
        <v>92</v>
      </c>
    </row>
    <row r="13" spans="1:21" x14ac:dyDescent="0.2">
      <c r="A13" s="8">
        <v>43658</v>
      </c>
      <c r="B13">
        <v>91</v>
      </c>
      <c r="C13">
        <v>88</v>
      </c>
      <c r="D13">
        <v>86</v>
      </c>
      <c r="E13">
        <v>77</v>
      </c>
      <c r="F13">
        <v>93</v>
      </c>
      <c r="G13">
        <v>90</v>
      </c>
      <c r="H13">
        <v>77</v>
      </c>
      <c r="I13">
        <v>86</v>
      </c>
      <c r="J13">
        <v>89</v>
      </c>
      <c r="K13">
        <v>86</v>
      </c>
      <c r="L13">
        <v>91</v>
      </c>
      <c r="M13">
        <v>87</v>
      </c>
      <c r="N13">
        <v>93</v>
      </c>
      <c r="O13">
        <v>90</v>
      </c>
      <c r="P13">
        <v>90</v>
      </c>
      <c r="Q13">
        <v>95</v>
      </c>
      <c r="R13">
        <v>84</v>
      </c>
      <c r="S13">
        <v>87</v>
      </c>
      <c r="T13">
        <v>90</v>
      </c>
      <c r="U13">
        <v>93</v>
      </c>
    </row>
    <row r="14" spans="1:21" x14ac:dyDescent="0.2">
      <c r="A14" s="8">
        <v>43659</v>
      </c>
      <c r="B14">
        <v>93</v>
      </c>
      <c r="C14">
        <v>86</v>
      </c>
      <c r="D14">
        <v>88</v>
      </c>
      <c r="E14">
        <v>73</v>
      </c>
      <c r="F14">
        <v>91</v>
      </c>
      <c r="G14">
        <v>86</v>
      </c>
      <c r="H14">
        <v>82</v>
      </c>
      <c r="I14">
        <v>87</v>
      </c>
      <c r="J14">
        <v>91</v>
      </c>
      <c r="K14">
        <v>84</v>
      </c>
      <c r="L14">
        <v>91</v>
      </c>
      <c r="M14">
        <v>86</v>
      </c>
      <c r="N14">
        <v>85</v>
      </c>
      <c r="O14">
        <v>84</v>
      </c>
      <c r="P14">
        <v>91</v>
      </c>
      <c r="Q14">
        <v>97</v>
      </c>
      <c r="R14">
        <v>90</v>
      </c>
      <c r="S14">
        <v>78</v>
      </c>
      <c r="T14">
        <v>89</v>
      </c>
      <c r="U14">
        <v>92</v>
      </c>
    </row>
    <row r="15" spans="1:21" x14ac:dyDescent="0.2">
      <c r="A15" s="8">
        <v>43660</v>
      </c>
      <c r="B15">
        <v>93</v>
      </c>
      <c r="C15">
        <v>90</v>
      </c>
      <c r="D15">
        <v>87</v>
      </c>
      <c r="E15">
        <v>81</v>
      </c>
      <c r="F15">
        <v>93</v>
      </c>
      <c r="G15">
        <v>82</v>
      </c>
      <c r="H15">
        <v>88</v>
      </c>
      <c r="I15">
        <v>84</v>
      </c>
      <c r="J15">
        <v>91</v>
      </c>
      <c r="K15">
        <v>87</v>
      </c>
      <c r="L15">
        <v>91</v>
      </c>
      <c r="M15">
        <v>84</v>
      </c>
      <c r="N15">
        <v>88</v>
      </c>
      <c r="O15">
        <v>89</v>
      </c>
      <c r="P15">
        <v>91</v>
      </c>
      <c r="Q15">
        <v>90</v>
      </c>
      <c r="R15">
        <v>90</v>
      </c>
      <c r="S15">
        <v>85</v>
      </c>
      <c r="T15">
        <v>90</v>
      </c>
      <c r="U15">
        <v>90</v>
      </c>
    </row>
    <row r="16" spans="1:21" x14ac:dyDescent="0.2">
      <c r="A16" s="8">
        <v>43661</v>
      </c>
      <c r="B16">
        <v>82</v>
      </c>
      <c r="C16">
        <v>91</v>
      </c>
      <c r="D16">
        <v>91</v>
      </c>
      <c r="E16">
        <v>81</v>
      </c>
      <c r="F16">
        <v>93</v>
      </c>
      <c r="G16">
        <v>82</v>
      </c>
      <c r="H16">
        <v>91</v>
      </c>
      <c r="I16">
        <v>86</v>
      </c>
      <c r="J16">
        <v>84</v>
      </c>
      <c r="K16">
        <v>84</v>
      </c>
      <c r="L16">
        <v>91</v>
      </c>
      <c r="M16">
        <v>81</v>
      </c>
      <c r="N16">
        <v>89</v>
      </c>
      <c r="O16">
        <v>89</v>
      </c>
      <c r="P16">
        <v>94</v>
      </c>
      <c r="Q16">
        <v>80</v>
      </c>
      <c r="R16">
        <v>90</v>
      </c>
      <c r="S16">
        <v>86</v>
      </c>
      <c r="T16">
        <v>86</v>
      </c>
      <c r="U16">
        <v>89</v>
      </c>
    </row>
    <row r="17" spans="1:21" x14ac:dyDescent="0.2">
      <c r="A17" s="8">
        <v>43662</v>
      </c>
      <c r="B17">
        <v>91</v>
      </c>
      <c r="C17">
        <v>91</v>
      </c>
      <c r="D17">
        <v>87</v>
      </c>
      <c r="E17">
        <v>86</v>
      </c>
      <c r="F17">
        <v>93</v>
      </c>
      <c r="G17">
        <v>84</v>
      </c>
      <c r="H17">
        <v>93</v>
      </c>
      <c r="I17">
        <v>88</v>
      </c>
      <c r="J17">
        <v>84</v>
      </c>
      <c r="K17">
        <v>85</v>
      </c>
      <c r="L17">
        <v>91</v>
      </c>
      <c r="M17">
        <v>86</v>
      </c>
      <c r="N17">
        <v>89</v>
      </c>
      <c r="O17">
        <v>90</v>
      </c>
      <c r="P17">
        <v>89</v>
      </c>
      <c r="Q17">
        <v>85</v>
      </c>
      <c r="R17">
        <v>92</v>
      </c>
      <c r="S17">
        <v>87</v>
      </c>
      <c r="T17">
        <v>83</v>
      </c>
      <c r="U17">
        <v>88</v>
      </c>
    </row>
    <row r="18" spans="1:21" x14ac:dyDescent="0.2">
      <c r="A18" s="8">
        <v>43663</v>
      </c>
      <c r="B18">
        <v>96</v>
      </c>
      <c r="C18">
        <v>89</v>
      </c>
      <c r="D18">
        <v>90</v>
      </c>
      <c r="E18">
        <v>82</v>
      </c>
      <c r="F18">
        <v>91</v>
      </c>
      <c r="G18">
        <v>87</v>
      </c>
      <c r="H18">
        <v>93</v>
      </c>
      <c r="I18">
        <v>88</v>
      </c>
      <c r="J18">
        <v>84</v>
      </c>
      <c r="K18">
        <v>89</v>
      </c>
      <c r="L18">
        <v>93</v>
      </c>
      <c r="M18">
        <v>89</v>
      </c>
      <c r="N18">
        <v>88</v>
      </c>
      <c r="O18">
        <v>88</v>
      </c>
      <c r="P18">
        <v>87</v>
      </c>
      <c r="Q18">
        <v>87</v>
      </c>
      <c r="R18">
        <v>93</v>
      </c>
      <c r="S18">
        <v>91</v>
      </c>
      <c r="T18">
        <v>86</v>
      </c>
      <c r="U18">
        <v>93</v>
      </c>
    </row>
    <row r="19" spans="1:21" x14ac:dyDescent="0.2">
      <c r="A19" s="8">
        <v>43664</v>
      </c>
      <c r="B19">
        <v>95</v>
      </c>
      <c r="C19">
        <v>89</v>
      </c>
      <c r="D19">
        <v>91</v>
      </c>
      <c r="E19">
        <v>87</v>
      </c>
      <c r="F19">
        <v>97</v>
      </c>
      <c r="G19">
        <v>88</v>
      </c>
      <c r="H19">
        <v>93</v>
      </c>
      <c r="I19">
        <v>88</v>
      </c>
      <c r="J19">
        <v>87</v>
      </c>
      <c r="K19">
        <v>90</v>
      </c>
      <c r="L19">
        <v>93</v>
      </c>
      <c r="M19">
        <v>89</v>
      </c>
      <c r="N19">
        <v>90</v>
      </c>
      <c r="O19">
        <v>82</v>
      </c>
      <c r="P19">
        <v>83</v>
      </c>
      <c r="Q19">
        <v>89</v>
      </c>
      <c r="R19">
        <v>93</v>
      </c>
      <c r="S19">
        <v>87</v>
      </c>
      <c r="T19">
        <v>82</v>
      </c>
      <c r="U19">
        <v>92</v>
      </c>
    </row>
    <row r="20" spans="1:21" x14ac:dyDescent="0.2">
      <c r="A20" s="8">
        <v>43665</v>
      </c>
      <c r="B20">
        <v>96</v>
      </c>
      <c r="C20">
        <v>89</v>
      </c>
      <c r="D20">
        <v>95</v>
      </c>
      <c r="E20">
        <v>88</v>
      </c>
      <c r="F20">
        <v>100</v>
      </c>
      <c r="G20">
        <v>90</v>
      </c>
      <c r="H20">
        <v>93</v>
      </c>
      <c r="I20">
        <v>88</v>
      </c>
      <c r="J20">
        <v>84</v>
      </c>
      <c r="K20">
        <v>89</v>
      </c>
      <c r="L20">
        <v>96</v>
      </c>
      <c r="M20">
        <v>88</v>
      </c>
      <c r="N20">
        <v>91</v>
      </c>
      <c r="O20">
        <v>80</v>
      </c>
      <c r="P20">
        <v>90</v>
      </c>
      <c r="Q20">
        <v>94</v>
      </c>
      <c r="R20">
        <v>91</v>
      </c>
      <c r="S20">
        <v>90</v>
      </c>
      <c r="T20">
        <v>85</v>
      </c>
      <c r="U20">
        <v>91</v>
      </c>
    </row>
    <row r="21" spans="1:21" x14ac:dyDescent="0.2">
      <c r="A21" s="8">
        <v>43666</v>
      </c>
      <c r="B21">
        <v>99</v>
      </c>
      <c r="C21">
        <v>90</v>
      </c>
      <c r="D21">
        <v>91</v>
      </c>
      <c r="E21">
        <v>90</v>
      </c>
      <c r="F21">
        <v>99</v>
      </c>
      <c r="G21">
        <v>87</v>
      </c>
      <c r="H21">
        <v>91</v>
      </c>
      <c r="I21">
        <v>88</v>
      </c>
      <c r="J21">
        <v>88</v>
      </c>
      <c r="K21">
        <v>89</v>
      </c>
      <c r="L21">
        <v>93</v>
      </c>
      <c r="M21">
        <v>86</v>
      </c>
      <c r="N21">
        <v>94</v>
      </c>
      <c r="O21">
        <v>82</v>
      </c>
      <c r="P21">
        <v>91</v>
      </c>
      <c r="Q21">
        <v>91</v>
      </c>
      <c r="R21">
        <v>84</v>
      </c>
      <c r="S21">
        <v>86</v>
      </c>
      <c r="T21">
        <v>76</v>
      </c>
      <c r="U21">
        <v>93</v>
      </c>
    </row>
    <row r="22" spans="1:21" x14ac:dyDescent="0.2">
      <c r="A22" s="8">
        <v>43667</v>
      </c>
      <c r="B22">
        <v>91</v>
      </c>
      <c r="C22">
        <v>89</v>
      </c>
      <c r="D22">
        <v>91</v>
      </c>
      <c r="E22">
        <v>90</v>
      </c>
      <c r="F22">
        <v>93</v>
      </c>
      <c r="G22">
        <v>84</v>
      </c>
      <c r="H22">
        <v>95</v>
      </c>
      <c r="I22">
        <v>89</v>
      </c>
      <c r="J22">
        <v>89</v>
      </c>
      <c r="K22">
        <v>90</v>
      </c>
      <c r="L22">
        <v>93</v>
      </c>
      <c r="M22">
        <v>86</v>
      </c>
      <c r="N22">
        <v>95</v>
      </c>
      <c r="O22">
        <v>86</v>
      </c>
      <c r="P22">
        <v>94</v>
      </c>
      <c r="Q22">
        <v>92</v>
      </c>
      <c r="R22">
        <v>90</v>
      </c>
      <c r="S22">
        <v>87</v>
      </c>
      <c r="T22">
        <v>82</v>
      </c>
      <c r="U22">
        <v>93</v>
      </c>
    </row>
    <row r="23" spans="1:21" x14ac:dyDescent="0.2">
      <c r="A23" s="8">
        <v>43668</v>
      </c>
      <c r="B23">
        <v>95</v>
      </c>
      <c r="C23">
        <v>84</v>
      </c>
      <c r="D23">
        <v>89</v>
      </c>
      <c r="E23">
        <v>91</v>
      </c>
      <c r="F23">
        <v>96</v>
      </c>
      <c r="G23">
        <v>87</v>
      </c>
      <c r="H23">
        <v>91</v>
      </c>
      <c r="I23">
        <v>86</v>
      </c>
      <c r="J23">
        <v>89</v>
      </c>
      <c r="K23">
        <v>91</v>
      </c>
      <c r="L23">
        <v>91</v>
      </c>
      <c r="M23">
        <v>79</v>
      </c>
      <c r="N23">
        <v>92</v>
      </c>
      <c r="O23">
        <v>84</v>
      </c>
      <c r="P23">
        <v>95</v>
      </c>
      <c r="Q23">
        <v>94</v>
      </c>
      <c r="R23">
        <v>95</v>
      </c>
      <c r="S23">
        <v>85</v>
      </c>
      <c r="T23">
        <v>83</v>
      </c>
      <c r="U23">
        <v>92</v>
      </c>
    </row>
    <row r="24" spans="1:21" x14ac:dyDescent="0.2">
      <c r="A24" s="8">
        <v>43669</v>
      </c>
      <c r="B24">
        <v>91</v>
      </c>
      <c r="C24">
        <v>87</v>
      </c>
      <c r="D24">
        <v>91</v>
      </c>
      <c r="E24">
        <v>93</v>
      </c>
      <c r="F24">
        <v>87</v>
      </c>
      <c r="G24">
        <v>90</v>
      </c>
      <c r="H24">
        <v>89</v>
      </c>
      <c r="I24">
        <v>81</v>
      </c>
      <c r="J24">
        <v>93</v>
      </c>
      <c r="K24">
        <v>91</v>
      </c>
      <c r="L24">
        <v>86</v>
      </c>
      <c r="M24">
        <v>82</v>
      </c>
      <c r="N24">
        <v>87</v>
      </c>
      <c r="O24">
        <v>87</v>
      </c>
      <c r="P24">
        <v>97</v>
      </c>
      <c r="Q24">
        <v>92</v>
      </c>
      <c r="R24">
        <v>97</v>
      </c>
      <c r="S24">
        <v>84</v>
      </c>
      <c r="T24">
        <v>88</v>
      </c>
      <c r="U24">
        <v>88</v>
      </c>
    </row>
    <row r="25" spans="1:21" x14ac:dyDescent="0.2">
      <c r="A25" s="8">
        <v>43670</v>
      </c>
      <c r="B25">
        <v>93</v>
      </c>
      <c r="C25">
        <v>88</v>
      </c>
      <c r="D25">
        <v>91</v>
      </c>
      <c r="E25">
        <v>93</v>
      </c>
      <c r="F25">
        <v>82</v>
      </c>
      <c r="G25">
        <v>84</v>
      </c>
      <c r="H25">
        <v>87</v>
      </c>
      <c r="I25">
        <v>82</v>
      </c>
      <c r="J25">
        <v>95</v>
      </c>
      <c r="K25">
        <v>90</v>
      </c>
      <c r="L25">
        <v>87</v>
      </c>
      <c r="M25">
        <v>87</v>
      </c>
      <c r="N25">
        <v>88</v>
      </c>
      <c r="O25">
        <v>88</v>
      </c>
      <c r="P25">
        <v>94</v>
      </c>
      <c r="Q25">
        <v>92</v>
      </c>
      <c r="R25">
        <v>97</v>
      </c>
      <c r="S25">
        <v>86</v>
      </c>
      <c r="T25">
        <v>87</v>
      </c>
      <c r="U25">
        <v>91</v>
      </c>
    </row>
    <row r="26" spans="1:21" x14ac:dyDescent="0.2">
      <c r="A26" s="8">
        <v>43671</v>
      </c>
      <c r="B26">
        <v>84</v>
      </c>
      <c r="C26">
        <v>89</v>
      </c>
      <c r="D26">
        <v>86</v>
      </c>
      <c r="E26">
        <v>91</v>
      </c>
      <c r="F26">
        <v>75</v>
      </c>
      <c r="G26">
        <v>82</v>
      </c>
      <c r="H26">
        <v>84</v>
      </c>
      <c r="I26">
        <v>84</v>
      </c>
      <c r="J26">
        <v>89</v>
      </c>
      <c r="K26">
        <v>92</v>
      </c>
      <c r="L26">
        <v>88</v>
      </c>
      <c r="M26">
        <v>87</v>
      </c>
      <c r="N26">
        <v>89</v>
      </c>
      <c r="O26">
        <v>90</v>
      </c>
      <c r="P26">
        <v>95</v>
      </c>
      <c r="Q26">
        <v>90</v>
      </c>
      <c r="R26">
        <v>98</v>
      </c>
      <c r="S26">
        <v>89</v>
      </c>
      <c r="T26">
        <v>88</v>
      </c>
      <c r="U26">
        <v>90</v>
      </c>
    </row>
    <row r="27" spans="1:21" x14ac:dyDescent="0.2">
      <c r="A27" s="8">
        <v>43672</v>
      </c>
      <c r="B27">
        <v>84</v>
      </c>
      <c r="C27">
        <v>89</v>
      </c>
      <c r="D27">
        <v>88</v>
      </c>
      <c r="E27">
        <v>93</v>
      </c>
      <c r="F27">
        <v>82</v>
      </c>
      <c r="G27">
        <v>88</v>
      </c>
      <c r="H27">
        <v>86</v>
      </c>
      <c r="I27">
        <v>87</v>
      </c>
      <c r="J27">
        <v>87</v>
      </c>
      <c r="K27">
        <v>94</v>
      </c>
      <c r="L27">
        <v>93</v>
      </c>
      <c r="M27">
        <v>87</v>
      </c>
      <c r="N27">
        <v>87</v>
      </c>
      <c r="O27">
        <v>92</v>
      </c>
      <c r="P27">
        <v>95</v>
      </c>
      <c r="Q27">
        <v>94</v>
      </c>
      <c r="R27">
        <v>98</v>
      </c>
      <c r="S27">
        <v>86</v>
      </c>
      <c r="T27">
        <v>89</v>
      </c>
      <c r="U27">
        <v>91</v>
      </c>
    </row>
    <row r="28" spans="1:21" x14ac:dyDescent="0.2">
      <c r="A28" s="8">
        <v>43673</v>
      </c>
      <c r="B28">
        <v>82</v>
      </c>
      <c r="C28">
        <v>91</v>
      </c>
      <c r="D28">
        <v>80</v>
      </c>
      <c r="E28">
        <v>93</v>
      </c>
      <c r="F28">
        <v>88</v>
      </c>
      <c r="G28">
        <v>90</v>
      </c>
      <c r="H28">
        <v>89</v>
      </c>
      <c r="I28">
        <v>87</v>
      </c>
      <c r="J28">
        <v>84</v>
      </c>
      <c r="K28">
        <v>92</v>
      </c>
      <c r="L28">
        <v>95</v>
      </c>
      <c r="M28">
        <v>90</v>
      </c>
      <c r="N28">
        <v>90</v>
      </c>
      <c r="O28">
        <v>90</v>
      </c>
      <c r="P28">
        <v>93</v>
      </c>
      <c r="Q28">
        <v>94</v>
      </c>
      <c r="R28">
        <v>97</v>
      </c>
      <c r="S28">
        <v>82</v>
      </c>
      <c r="T28">
        <v>92</v>
      </c>
      <c r="U28">
        <v>92</v>
      </c>
    </row>
    <row r="29" spans="1:21" x14ac:dyDescent="0.2">
      <c r="A29" s="8">
        <v>43674</v>
      </c>
      <c r="B29">
        <v>79</v>
      </c>
      <c r="C29">
        <v>91</v>
      </c>
      <c r="D29">
        <v>88</v>
      </c>
      <c r="E29">
        <v>93</v>
      </c>
      <c r="F29">
        <v>91</v>
      </c>
      <c r="G29">
        <v>84</v>
      </c>
      <c r="H29">
        <v>91</v>
      </c>
      <c r="I29">
        <v>89</v>
      </c>
      <c r="J29">
        <v>89</v>
      </c>
      <c r="K29">
        <v>90</v>
      </c>
      <c r="L29">
        <v>96</v>
      </c>
      <c r="M29">
        <v>89</v>
      </c>
      <c r="N29">
        <v>93</v>
      </c>
      <c r="O29">
        <v>89</v>
      </c>
      <c r="P29">
        <v>90</v>
      </c>
      <c r="Q29">
        <v>90</v>
      </c>
      <c r="R29">
        <v>97</v>
      </c>
      <c r="S29">
        <v>86</v>
      </c>
      <c r="T29">
        <v>90</v>
      </c>
      <c r="U29">
        <v>94</v>
      </c>
    </row>
    <row r="30" spans="1:21" x14ac:dyDescent="0.2">
      <c r="A30" s="8">
        <v>43675</v>
      </c>
      <c r="B30">
        <v>90</v>
      </c>
      <c r="C30">
        <v>89</v>
      </c>
      <c r="D30">
        <v>89</v>
      </c>
      <c r="E30">
        <v>93</v>
      </c>
      <c r="F30">
        <v>89</v>
      </c>
      <c r="G30">
        <v>89</v>
      </c>
      <c r="H30">
        <v>91</v>
      </c>
      <c r="I30">
        <v>88</v>
      </c>
      <c r="J30">
        <v>87</v>
      </c>
      <c r="K30">
        <v>83</v>
      </c>
      <c r="L30">
        <v>91</v>
      </c>
      <c r="M30">
        <v>87</v>
      </c>
      <c r="N30">
        <v>92</v>
      </c>
      <c r="O30">
        <v>85</v>
      </c>
      <c r="P30">
        <v>94</v>
      </c>
      <c r="Q30">
        <v>93</v>
      </c>
      <c r="R30">
        <v>94</v>
      </c>
      <c r="S30">
        <v>86</v>
      </c>
      <c r="T30">
        <v>82</v>
      </c>
      <c r="U30">
        <v>93</v>
      </c>
    </row>
    <row r="31" spans="1:21" x14ac:dyDescent="0.2">
      <c r="A31" s="8">
        <v>43676</v>
      </c>
      <c r="B31">
        <v>91</v>
      </c>
      <c r="C31">
        <v>88</v>
      </c>
      <c r="D31">
        <v>90</v>
      </c>
      <c r="E31">
        <v>97</v>
      </c>
      <c r="F31">
        <v>87</v>
      </c>
      <c r="G31">
        <v>89</v>
      </c>
      <c r="H31">
        <v>88</v>
      </c>
      <c r="I31">
        <v>84</v>
      </c>
      <c r="J31">
        <v>89</v>
      </c>
      <c r="K31">
        <v>78</v>
      </c>
      <c r="L31">
        <v>91</v>
      </c>
      <c r="M31">
        <v>92</v>
      </c>
      <c r="N31">
        <v>90</v>
      </c>
      <c r="O31">
        <v>82</v>
      </c>
      <c r="P31">
        <v>95</v>
      </c>
      <c r="Q31">
        <v>96</v>
      </c>
      <c r="R31">
        <v>96</v>
      </c>
      <c r="S31">
        <v>90</v>
      </c>
      <c r="T31">
        <v>84</v>
      </c>
      <c r="U31">
        <v>94</v>
      </c>
    </row>
    <row r="32" spans="1:21" x14ac:dyDescent="0.2">
      <c r="A32" s="8">
        <v>43677</v>
      </c>
      <c r="B32">
        <v>87</v>
      </c>
      <c r="C32">
        <v>72</v>
      </c>
      <c r="D32">
        <v>86</v>
      </c>
      <c r="E32">
        <v>99</v>
      </c>
      <c r="F32">
        <v>86</v>
      </c>
      <c r="G32">
        <v>87</v>
      </c>
      <c r="H32">
        <v>90</v>
      </c>
      <c r="I32">
        <v>88</v>
      </c>
      <c r="J32">
        <v>90</v>
      </c>
      <c r="K32">
        <v>84</v>
      </c>
      <c r="L32">
        <v>94</v>
      </c>
      <c r="M32">
        <v>90</v>
      </c>
      <c r="N32">
        <v>88</v>
      </c>
      <c r="O32">
        <v>85</v>
      </c>
      <c r="P32">
        <v>95</v>
      </c>
      <c r="Q32">
        <v>96</v>
      </c>
      <c r="R32">
        <v>88</v>
      </c>
      <c r="S32">
        <v>80</v>
      </c>
      <c r="T32">
        <v>85</v>
      </c>
      <c r="U32">
        <v>93</v>
      </c>
    </row>
    <row r="33" spans="1:21" x14ac:dyDescent="0.2">
      <c r="A33" s="8">
        <v>43678</v>
      </c>
      <c r="B33">
        <v>86</v>
      </c>
      <c r="C33">
        <v>80</v>
      </c>
      <c r="D33">
        <v>86</v>
      </c>
      <c r="E33">
        <v>96</v>
      </c>
      <c r="F33">
        <v>86</v>
      </c>
      <c r="G33">
        <v>84</v>
      </c>
      <c r="H33">
        <v>93</v>
      </c>
      <c r="I33">
        <v>84</v>
      </c>
      <c r="J33">
        <v>91</v>
      </c>
      <c r="K33">
        <v>82</v>
      </c>
      <c r="L33">
        <v>95</v>
      </c>
      <c r="M33">
        <v>92</v>
      </c>
      <c r="N33">
        <v>89</v>
      </c>
      <c r="O33">
        <v>89</v>
      </c>
      <c r="P33">
        <v>96</v>
      </c>
      <c r="Q33">
        <v>91</v>
      </c>
      <c r="R33">
        <v>94</v>
      </c>
      <c r="S33">
        <v>87</v>
      </c>
      <c r="T33">
        <v>81</v>
      </c>
      <c r="U33">
        <v>89</v>
      </c>
    </row>
    <row r="34" spans="1:21" x14ac:dyDescent="0.2">
      <c r="A34" s="8">
        <v>43679</v>
      </c>
      <c r="B34">
        <v>90</v>
      </c>
      <c r="C34">
        <v>84</v>
      </c>
      <c r="D34">
        <v>82</v>
      </c>
      <c r="E34">
        <v>93</v>
      </c>
      <c r="F34">
        <v>81</v>
      </c>
      <c r="G34">
        <v>84</v>
      </c>
      <c r="H34">
        <v>91</v>
      </c>
      <c r="I34">
        <v>84</v>
      </c>
      <c r="J34">
        <v>90</v>
      </c>
      <c r="K34">
        <v>86</v>
      </c>
      <c r="L34">
        <v>95</v>
      </c>
      <c r="M34">
        <v>92</v>
      </c>
      <c r="N34">
        <v>92</v>
      </c>
      <c r="O34">
        <v>83</v>
      </c>
      <c r="P34">
        <v>84</v>
      </c>
      <c r="Q34">
        <v>96</v>
      </c>
      <c r="R34">
        <v>99</v>
      </c>
      <c r="S34">
        <v>89</v>
      </c>
      <c r="T34">
        <v>84</v>
      </c>
      <c r="U34">
        <v>94</v>
      </c>
    </row>
    <row r="35" spans="1:21" x14ac:dyDescent="0.2">
      <c r="A35" s="8">
        <v>43680</v>
      </c>
      <c r="B35">
        <v>84</v>
      </c>
      <c r="C35">
        <v>88</v>
      </c>
      <c r="D35">
        <v>84</v>
      </c>
      <c r="E35">
        <v>88</v>
      </c>
      <c r="F35">
        <v>84</v>
      </c>
      <c r="G35">
        <v>84</v>
      </c>
      <c r="H35">
        <v>91</v>
      </c>
      <c r="I35">
        <v>84</v>
      </c>
      <c r="J35">
        <v>91</v>
      </c>
      <c r="K35">
        <v>88</v>
      </c>
      <c r="L35">
        <v>97</v>
      </c>
      <c r="M35">
        <v>94</v>
      </c>
      <c r="N35">
        <v>91</v>
      </c>
      <c r="O35">
        <v>90</v>
      </c>
      <c r="P35">
        <v>92</v>
      </c>
      <c r="Q35">
        <v>97</v>
      </c>
      <c r="R35">
        <v>94</v>
      </c>
      <c r="S35">
        <v>88</v>
      </c>
      <c r="T35">
        <v>88</v>
      </c>
      <c r="U35">
        <v>94</v>
      </c>
    </row>
    <row r="36" spans="1:21" x14ac:dyDescent="0.2">
      <c r="A36" s="8">
        <v>43681</v>
      </c>
      <c r="B36">
        <v>91</v>
      </c>
      <c r="C36">
        <v>89</v>
      </c>
      <c r="D36">
        <v>86</v>
      </c>
      <c r="E36">
        <v>89</v>
      </c>
      <c r="F36">
        <v>88</v>
      </c>
      <c r="G36">
        <v>86</v>
      </c>
      <c r="H36">
        <v>91</v>
      </c>
      <c r="I36">
        <v>82</v>
      </c>
      <c r="J36">
        <v>91</v>
      </c>
      <c r="K36">
        <v>91</v>
      </c>
      <c r="L36">
        <v>98</v>
      </c>
      <c r="M36">
        <v>97</v>
      </c>
      <c r="N36">
        <v>91</v>
      </c>
      <c r="O36">
        <v>92</v>
      </c>
      <c r="P36">
        <v>95</v>
      </c>
      <c r="Q36">
        <v>85</v>
      </c>
      <c r="R36">
        <v>87</v>
      </c>
      <c r="S36">
        <v>90</v>
      </c>
      <c r="T36">
        <v>90</v>
      </c>
      <c r="U36">
        <v>97</v>
      </c>
    </row>
    <row r="37" spans="1:21" x14ac:dyDescent="0.2">
      <c r="A37" s="8">
        <v>43682</v>
      </c>
      <c r="B37">
        <v>93</v>
      </c>
      <c r="C37">
        <v>88</v>
      </c>
      <c r="D37">
        <v>90</v>
      </c>
      <c r="E37">
        <v>91</v>
      </c>
      <c r="F37">
        <v>91</v>
      </c>
      <c r="G37">
        <v>88</v>
      </c>
      <c r="H37">
        <v>93</v>
      </c>
      <c r="I37">
        <v>84</v>
      </c>
      <c r="J37">
        <v>90</v>
      </c>
      <c r="K37">
        <v>88</v>
      </c>
      <c r="L37">
        <v>96</v>
      </c>
      <c r="M37">
        <v>96</v>
      </c>
      <c r="N37">
        <v>92</v>
      </c>
      <c r="O37">
        <v>92</v>
      </c>
      <c r="P37">
        <v>93</v>
      </c>
      <c r="Q37">
        <v>96</v>
      </c>
      <c r="R37">
        <v>90</v>
      </c>
      <c r="S37">
        <v>88</v>
      </c>
      <c r="T37">
        <v>89</v>
      </c>
      <c r="U37">
        <v>95</v>
      </c>
    </row>
    <row r="38" spans="1:21" x14ac:dyDescent="0.2">
      <c r="A38" s="8">
        <v>43683</v>
      </c>
      <c r="B38">
        <v>88</v>
      </c>
      <c r="C38">
        <v>84</v>
      </c>
      <c r="D38">
        <v>89</v>
      </c>
      <c r="E38">
        <v>93</v>
      </c>
      <c r="F38">
        <v>91</v>
      </c>
      <c r="G38">
        <v>84</v>
      </c>
      <c r="H38">
        <v>97</v>
      </c>
      <c r="I38">
        <v>82</v>
      </c>
      <c r="J38">
        <v>84</v>
      </c>
      <c r="K38">
        <v>86</v>
      </c>
      <c r="L38">
        <v>89</v>
      </c>
      <c r="M38">
        <v>98</v>
      </c>
      <c r="N38">
        <v>94</v>
      </c>
      <c r="O38">
        <v>89</v>
      </c>
      <c r="P38">
        <v>93</v>
      </c>
      <c r="Q38">
        <v>93</v>
      </c>
      <c r="R38">
        <v>86</v>
      </c>
      <c r="S38">
        <v>88</v>
      </c>
      <c r="T38">
        <v>92</v>
      </c>
      <c r="U38">
        <v>88</v>
      </c>
    </row>
    <row r="39" spans="1:21" x14ac:dyDescent="0.2">
      <c r="A39" s="8">
        <v>43684</v>
      </c>
      <c r="B39">
        <v>91</v>
      </c>
      <c r="C39">
        <v>84</v>
      </c>
      <c r="D39">
        <v>89</v>
      </c>
      <c r="E39">
        <v>93</v>
      </c>
      <c r="F39">
        <v>91</v>
      </c>
      <c r="G39">
        <v>86</v>
      </c>
      <c r="H39">
        <v>87</v>
      </c>
      <c r="I39">
        <v>84</v>
      </c>
      <c r="J39">
        <v>81</v>
      </c>
      <c r="K39">
        <v>80</v>
      </c>
      <c r="L39">
        <v>97</v>
      </c>
      <c r="M39">
        <v>98</v>
      </c>
      <c r="N39">
        <v>90</v>
      </c>
      <c r="O39">
        <v>91</v>
      </c>
      <c r="P39">
        <v>91</v>
      </c>
      <c r="Q39">
        <v>93</v>
      </c>
      <c r="R39">
        <v>84</v>
      </c>
      <c r="S39">
        <v>86</v>
      </c>
      <c r="T39">
        <v>95</v>
      </c>
      <c r="U39">
        <v>88</v>
      </c>
    </row>
    <row r="40" spans="1:21" x14ac:dyDescent="0.2">
      <c r="A40" s="8">
        <v>43685</v>
      </c>
      <c r="B40">
        <v>84</v>
      </c>
      <c r="C40">
        <v>80</v>
      </c>
      <c r="D40">
        <v>86</v>
      </c>
      <c r="E40">
        <v>93</v>
      </c>
      <c r="F40">
        <v>91</v>
      </c>
      <c r="G40">
        <v>88</v>
      </c>
      <c r="H40">
        <v>87</v>
      </c>
      <c r="I40">
        <v>84</v>
      </c>
      <c r="J40">
        <v>82</v>
      </c>
      <c r="K40">
        <v>82</v>
      </c>
      <c r="L40">
        <v>96</v>
      </c>
      <c r="M40">
        <v>100</v>
      </c>
      <c r="N40">
        <v>86</v>
      </c>
      <c r="O40">
        <v>92</v>
      </c>
      <c r="P40">
        <v>93</v>
      </c>
      <c r="Q40">
        <v>94</v>
      </c>
      <c r="R40">
        <v>92</v>
      </c>
      <c r="S40">
        <v>83</v>
      </c>
      <c r="T40">
        <v>90</v>
      </c>
      <c r="U40">
        <v>92</v>
      </c>
    </row>
    <row r="41" spans="1:21" x14ac:dyDescent="0.2">
      <c r="A41" s="8">
        <v>43686</v>
      </c>
      <c r="B41">
        <v>90</v>
      </c>
      <c r="C41">
        <v>73</v>
      </c>
      <c r="D41">
        <v>82</v>
      </c>
      <c r="E41">
        <v>91</v>
      </c>
      <c r="F41">
        <v>96</v>
      </c>
      <c r="G41">
        <v>87</v>
      </c>
      <c r="H41">
        <v>86</v>
      </c>
      <c r="I41">
        <v>86</v>
      </c>
      <c r="J41">
        <v>84</v>
      </c>
      <c r="K41">
        <v>85</v>
      </c>
      <c r="L41">
        <v>95</v>
      </c>
      <c r="M41">
        <v>103</v>
      </c>
      <c r="N41">
        <v>85</v>
      </c>
      <c r="O41">
        <v>93</v>
      </c>
      <c r="P41">
        <v>94</v>
      </c>
      <c r="Q41">
        <v>91</v>
      </c>
      <c r="R41">
        <v>88</v>
      </c>
      <c r="S41">
        <v>89</v>
      </c>
      <c r="T41">
        <v>89</v>
      </c>
      <c r="U41">
        <v>93</v>
      </c>
    </row>
    <row r="42" spans="1:21" x14ac:dyDescent="0.2">
      <c r="A42" s="8">
        <v>43687</v>
      </c>
      <c r="B42">
        <v>89</v>
      </c>
      <c r="C42">
        <v>80</v>
      </c>
      <c r="D42">
        <v>87</v>
      </c>
      <c r="E42">
        <v>90</v>
      </c>
      <c r="F42">
        <v>95</v>
      </c>
      <c r="G42">
        <v>88</v>
      </c>
      <c r="H42">
        <v>88</v>
      </c>
      <c r="I42">
        <v>87</v>
      </c>
      <c r="J42">
        <v>75</v>
      </c>
      <c r="K42">
        <v>83</v>
      </c>
      <c r="L42">
        <v>96</v>
      </c>
      <c r="M42">
        <v>103</v>
      </c>
      <c r="N42">
        <v>85</v>
      </c>
      <c r="O42">
        <v>93</v>
      </c>
      <c r="P42">
        <v>94</v>
      </c>
      <c r="Q42">
        <v>95</v>
      </c>
      <c r="R42">
        <v>87</v>
      </c>
      <c r="S42">
        <v>90</v>
      </c>
      <c r="T42">
        <v>86</v>
      </c>
      <c r="U42">
        <v>94</v>
      </c>
    </row>
    <row r="43" spans="1:21" x14ac:dyDescent="0.2">
      <c r="A43" s="8">
        <v>43688</v>
      </c>
      <c r="B43">
        <v>88</v>
      </c>
      <c r="C43">
        <v>86</v>
      </c>
      <c r="D43">
        <v>88</v>
      </c>
      <c r="E43">
        <v>96</v>
      </c>
      <c r="F43">
        <v>89</v>
      </c>
      <c r="G43">
        <v>86</v>
      </c>
      <c r="H43">
        <v>89</v>
      </c>
      <c r="I43">
        <v>84</v>
      </c>
      <c r="J43">
        <v>82</v>
      </c>
      <c r="K43">
        <v>87</v>
      </c>
      <c r="L43">
        <v>88</v>
      </c>
      <c r="M43">
        <v>100</v>
      </c>
      <c r="N43">
        <v>88</v>
      </c>
      <c r="O43">
        <v>95</v>
      </c>
      <c r="P43">
        <v>95</v>
      </c>
      <c r="Q43">
        <v>94</v>
      </c>
      <c r="R43">
        <v>85</v>
      </c>
      <c r="S43">
        <v>90</v>
      </c>
      <c r="T43">
        <v>83</v>
      </c>
      <c r="U43">
        <v>91</v>
      </c>
    </row>
    <row r="44" spans="1:21" x14ac:dyDescent="0.2">
      <c r="A44" s="8">
        <v>43689</v>
      </c>
      <c r="B44">
        <v>86</v>
      </c>
      <c r="C44">
        <v>88</v>
      </c>
      <c r="D44">
        <v>84</v>
      </c>
      <c r="E44">
        <v>98</v>
      </c>
      <c r="F44">
        <v>89</v>
      </c>
      <c r="G44">
        <v>86</v>
      </c>
      <c r="H44">
        <v>91</v>
      </c>
      <c r="I44">
        <v>81</v>
      </c>
      <c r="J44">
        <v>80</v>
      </c>
      <c r="K44">
        <v>88</v>
      </c>
      <c r="L44">
        <v>84</v>
      </c>
      <c r="M44">
        <v>90</v>
      </c>
      <c r="N44">
        <v>81</v>
      </c>
      <c r="O44">
        <v>86</v>
      </c>
      <c r="P44">
        <v>95</v>
      </c>
      <c r="Q44">
        <v>95</v>
      </c>
      <c r="R44">
        <v>88</v>
      </c>
      <c r="S44">
        <v>90</v>
      </c>
      <c r="T44">
        <v>88</v>
      </c>
      <c r="U44">
        <v>90</v>
      </c>
    </row>
    <row r="45" spans="1:21" x14ac:dyDescent="0.2">
      <c r="A45" s="8">
        <v>43690</v>
      </c>
      <c r="B45">
        <v>84</v>
      </c>
      <c r="C45">
        <v>88</v>
      </c>
      <c r="D45">
        <v>86</v>
      </c>
      <c r="E45">
        <v>97</v>
      </c>
      <c r="F45">
        <v>89</v>
      </c>
      <c r="G45">
        <v>81</v>
      </c>
      <c r="H45">
        <v>91</v>
      </c>
      <c r="I45">
        <v>87</v>
      </c>
      <c r="J45">
        <v>77</v>
      </c>
      <c r="K45">
        <v>86</v>
      </c>
      <c r="L45">
        <v>81</v>
      </c>
      <c r="M45">
        <v>100</v>
      </c>
      <c r="N45">
        <v>81</v>
      </c>
      <c r="O45">
        <v>90</v>
      </c>
      <c r="P45">
        <v>96</v>
      </c>
      <c r="Q45">
        <v>95</v>
      </c>
      <c r="R45">
        <v>91</v>
      </c>
      <c r="S45">
        <v>89</v>
      </c>
      <c r="T45">
        <v>84</v>
      </c>
      <c r="U45">
        <v>89</v>
      </c>
    </row>
    <row r="46" spans="1:21" x14ac:dyDescent="0.2">
      <c r="A46" s="8">
        <v>43691</v>
      </c>
      <c r="B46">
        <v>86</v>
      </c>
      <c r="C46">
        <v>87</v>
      </c>
      <c r="D46">
        <v>80</v>
      </c>
      <c r="E46">
        <v>98</v>
      </c>
      <c r="F46">
        <v>89</v>
      </c>
      <c r="G46">
        <v>87</v>
      </c>
      <c r="H46">
        <v>89</v>
      </c>
      <c r="I46">
        <v>89</v>
      </c>
      <c r="J46">
        <v>82</v>
      </c>
      <c r="K46">
        <v>90</v>
      </c>
      <c r="L46">
        <v>87</v>
      </c>
      <c r="M46">
        <v>99</v>
      </c>
      <c r="N46">
        <v>84</v>
      </c>
      <c r="O46">
        <v>90</v>
      </c>
      <c r="P46">
        <v>89</v>
      </c>
      <c r="Q46">
        <v>94</v>
      </c>
      <c r="R46">
        <v>88</v>
      </c>
      <c r="S46">
        <v>83</v>
      </c>
      <c r="T46">
        <v>85</v>
      </c>
      <c r="U46">
        <v>90</v>
      </c>
    </row>
    <row r="47" spans="1:21" x14ac:dyDescent="0.2">
      <c r="A47" s="8">
        <v>43692</v>
      </c>
      <c r="B47">
        <v>89</v>
      </c>
      <c r="C47">
        <v>88</v>
      </c>
      <c r="D47">
        <v>82</v>
      </c>
      <c r="E47">
        <v>93</v>
      </c>
      <c r="F47">
        <v>94</v>
      </c>
      <c r="G47">
        <v>84</v>
      </c>
      <c r="H47">
        <v>88</v>
      </c>
      <c r="I47">
        <v>90</v>
      </c>
      <c r="J47">
        <v>82</v>
      </c>
      <c r="K47">
        <v>92</v>
      </c>
      <c r="L47">
        <v>86</v>
      </c>
      <c r="M47">
        <v>102</v>
      </c>
      <c r="N47">
        <v>87</v>
      </c>
      <c r="O47">
        <v>90</v>
      </c>
      <c r="P47">
        <v>90</v>
      </c>
      <c r="Q47">
        <v>88</v>
      </c>
      <c r="R47">
        <v>85</v>
      </c>
      <c r="S47">
        <v>73</v>
      </c>
      <c r="T47">
        <v>87</v>
      </c>
      <c r="U47">
        <v>90</v>
      </c>
    </row>
    <row r="48" spans="1:21" x14ac:dyDescent="0.2">
      <c r="A48" s="8">
        <v>43693</v>
      </c>
      <c r="B48">
        <v>90</v>
      </c>
      <c r="C48">
        <v>91</v>
      </c>
      <c r="D48">
        <v>86</v>
      </c>
      <c r="E48">
        <v>93</v>
      </c>
      <c r="F48">
        <v>97</v>
      </c>
      <c r="G48">
        <v>90</v>
      </c>
      <c r="H48">
        <v>90</v>
      </c>
      <c r="I48">
        <v>86</v>
      </c>
      <c r="J48">
        <v>84</v>
      </c>
      <c r="K48">
        <v>89</v>
      </c>
      <c r="L48">
        <v>89</v>
      </c>
      <c r="M48">
        <v>101</v>
      </c>
      <c r="N48">
        <v>86</v>
      </c>
      <c r="O48">
        <v>88</v>
      </c>
      <c r="P48">
        <v>90</v>
      </c>
      <c r="Q48">
        <v>90</v>
      </c>
      <c r="R48">
        <v>91</v>
      </c>
      <c r="S48">
        <v>67</v>
      </c>
      <c r="T48">
        <v>88</v>
      </c>
      <c r="U48">
        <v>90</v>
      </c>
    </row>
    <row r="49" spans="1:21" x14ac:dyDescent="0.2">
      <c r="A49" s="8">
        <v>43694</v>
      </c>
      <c r="B49">
        <v>91</v>
      </c>
      <c r="C49">
        <v>91</v>
      </c>
      <c r="D49">
        <v>84</v>
      </c>
      <c r="E49">
        <v>96</v>
      </c>
      <c r="F49">
        <v>99</v>
      </c>
      <c r="G49">
        <v>91</v>
      </c>
      <c r="H49">
        <v>91</v>
      </c>
      <c r="I49">
        <v>89</v>
      </c>
      <c r="J49">
        <v>86</v>
      </c>
      <c r="K49">
        <v>90</v>
      </c>
      <c r="L49">
        <v>86</v>
      </c>
      <c r="M49">
        <v>101</v>
      </c>
      <c r="N49">
        <v>85</v>
      </c>
      <c r="O49">
        <v>87</v>
      </c>
      <c r="P49">
        <v>91</v>
      </c>
      <c r="Q49">
        <v>92</v>
      </c>
      <c r="R49">
        <v>87</v>
      </c>
      <c r="S49">
        <v>66</v>
      </c>
      <c r="T49">
        <v>89</v>
      </c>
      <c r="U49">
        <v>89</v>
      </c>
    </row>
    <row r="50" spans="1:21" x14ac:dyDescent="0.2">
      <c r="A50" s="8">
        <v>43695</v>
      </c>
      <c r="B50">
        <v>91</v>
      </c>
      <c r="C50">
        <v>89</v>
      </c>
      <c r="D50">
        <v>87</v>
      </c>
      <c r="E50">
        <v>98</v>
      </c>
      <c r="F50">
        <v>101</v>
      </c>
      <c r="G50">
        <v>91</v>
      </c>
      <c r="H50">
        <v>93</v>
      </c>
      <c r="I50">
        <v>90</v>
      </c>
      <c r="J50">
        <v>86</v>
      </c>
      <c r="K50">
        <v>90</v>
      </c>
      <c r="L50">
        <v>88</v>
      </c>
      <c r="M50">
        <v>97</v>
      </c>
      <c r="N50">
        <v>86</v>
      </c>
      <c r="O50">
        <v>88</v>
      </c>
      <c r="P50">
        <v>93</v>
      </c>
      <c r="Q50">
        <v>94</v>
      </c>
      <c r="R50">
        <v>87</v>
      </c>
      <c r="S50">
        <v>77</v>
      </c>
      <c r="T50">
        <v>89</v>
      </c>
      <c r="U50">
        <v>88</v>
      </c>
    </row>
    <row r="51" spans="1:21" x14ac:dyDescent="0.2">
      <c r="A51" s="8">
        <v>43696</v>
      </c>
      <c r="B51">
        <v>90</v>
      </c>
      <c r="C51">
        <v>89</v>
      </c>
      <c r="D51">
        <v>90</v>
      </c>
      <c r="E51">
        <v>98</v>
      </c>
      <c r="F51">
        <v>101</v>
      </c>
      <c r="G51">
        <v>87</v>
      </c>
      <c r="H51">
        <v>91</v>
      </c>
      <c r="I51">
        <v>90</v>
      </c>
      <c r="J51">
        <v>89</v>
      </c>
      <c r="K51">
        <v>89</v>
      </c>
      <c r="L51">
        <v>88</v>
      </c>
      <c r="M51">
        <v>95</v>
      </c>
      <c r="N51">
        <v>90</v>
      </c>
      <c r="O51">
        <v>90</v>
      </c>
      <c r="P51">
        <v>92</v>
      </c>
      <c r="Q51">
        <v>96</v>
      </c>
      <c r="R51">
        <v>84</v>
      </c>
      <c r="S51">
        <v>82</v>
      </c>
      <c r="T51">
        <v>86</v>
      </c>
      <c r="U51">
        <v>89</v>
      </c>
    </row>
    <row r="52" spans="1:21" x14ac:dyDescent="0.2">
      <c r="A52" s="8">
        <v>43697</v>
      </c>
      <c r="B52">
        <v>89</v>
      </c>
      <c r="C52">
        <v>88</v>
      </c>
      <c r="D52">
        <v>79</v>
      </c>
      <c r="E52">
        <v>89</v>
      </c>
      <c r="F52">
        <v>97</v>
      </c>
      <c r="G52">
        <v>86</v>
      </c>
      <c r="H52">
        <v>93</v>
      </c>
      <c r="I52">
        <v>87</v>
      </c>
      <c r="J52">
        <v>88</v>
      </c>
      <c r="K52">
        <v>92</v>
      </c>
      <c r="L52">
        <v>93</v>
      </c>
      <c r="M52">
        <v>96</v>
      </c>
      <c r="N52">
        <v>90</v>
      </c>
      <c r="O52">
        <v>88</v>
      </c>
      <c r="P52">
        <v>93</v>
      </c>
      <c r="Q52">
        <v>93</v>
      </c>
      <c r="R52">
        <v>84</v>
      </c>
      <c r="S52">
        <v>84</v>
      </c>
      <c r="T52">
        <v>89</v>
      </c>
      <c r="U52">
        <v>88</v>
      </c>
    </row>
    <row r="53" spans="1:21" x14ac:dyDescent="0.2">
      <c r="A53" s="8">
        <v>43698</v>
      </c>
      <c r="B53">
        <v>90</v>
      </c>
      <c r="C53">
        <v>82</v>
      </c>
      <c r="D53">
        <v>84</v>
      </c>
      <c r="E53">
        <v>91</v>
      </c>
      <c r="F53">
        <v>87</v>
      </c>
      <c r="G53">
        <v>88</v>
      </c>
      <c r="H53">
        <v>93</v>
      </c>
      <c r="I53">
        <v>88</v>
      </c>
      <c r="J53">
        <v>82</v>
      </c>
      <c r="K53">
        <v>94</v>
      </c>
      <c r="L53">
        <v>91</v>
      </c>
      <c r="M53">
        <v>99</v>
      </c>
      <c r="N53">
        <v>85</v>
      </c>
      <c r="O53">
        <v>88</v>
      </c>
      <c r="P53">
        <v>93</v>
      </c>
      <c r="Q53">
        <v>94</v>
      </c>
      <c r="R53">
        <v>88</v>
      </c>
      <c r="S53">
        <v>84</v>
      </c>
      <c r="T53">
        <v>92</v>
      </c>
      <c r="U53">
        <v>89</v>
      </c>
    </row>
    <row r="54" spans="1:21" x14ac:dyDescent="0.2">
      <c r="A54" s="8">
        <v>43699</v>
      </c>
      <c r="B54">
        <v>91</v>
      </c>
      <c r="C54">
        <v>79</v>
      </c>
      <c r="D54">
        <v>87</v>
      </c>
      <c r="E54">
        <v>91</v>
      </c>
      <c r="F54">
        <v>86</v>
      </c>
      <c r="G54">
        <v>90</v>
      </c>
      <c r="H54">
        <v>91</v>
      </c>
      <c r="I54">
        <v>88</v>
      </c>
      <c r="J54">
        <v>84</v>
      </c>
      <c r="K54">
        <v>93</v>
      </c>
      <c r="L54">
        <v>88</v>
      </c>
      <c r="M54">
        <v>104</v>
      </c>
      <c r="N54">
        <v>82</v>
      </c>
      <c r="O54">
        <v>85</v>
      </c>
      <c r="P54">
        <v>94</v>
      </c>
      <c r="Q54">
        <v>98</v>
      </c>
      <c r="R54">
        <v>84</v>
      </c>
      <c r="S54">
        <v>88</v>
      </c>
      <c r="T54">
        <v>93</v>
      </c>
      <c r="U54">
        <v>92</v>
      </c>
    </row>
    <row r="55" spans="1:21" x14ac:dyDescent="0.2">
      <c r="A55" s="8">
        <v>43700</v>
      </c>
      <c r="B55">
        <v>91</v>
      </c>
      <c r="C55">
        <v>81</v>
      </c>
      <c r="D55">
        <v>87</v>
      </c>
      <c r="E55">
        <v>90</v>
      </c>
      <c r="F55">
        <v>88</v>
      </c>
      <c r="G55">
        <v>88</v>
      </c>
      <c r="H55">
        <v>95</v>
      </c>
      <c r="I55">
        <v>90</v>
      </c>
      <c r="J55">
        <v>84</v>
      </c>
      <c r="K55">
        <v>87</v>
      </c>
      <c r="L55">
        <v>87</v>
      </c>
      <c r="M55">
        <v>98</v>
      </c>
      <c r="N55">
        <v>78</v>
      </c>
      <c r="O55">
        <v>81</v>
      </c>
      <c r="P55">
        <v>93</v>
      </c>
      <c r="Q55">
        <v>92</v>
      </c>
      <c r="R55">
        <v>88</v>
      </c>
      <c r="S55">
        <v>90</v>
      </c>
      <c r="T55">
        <v>93</v>
      </c>
      <c r="U55">
        <v>87</v>
      </c>
    </row>
    <row r="56" spans="1:21" x14ac:dyDescent="0.2">
      <c r="A56" s="8">
        <v>43701</v>
      </c>
      <c r="B56">
        <v>91</v>
      </c>
      <c r="C56">
        <v>82</v>
      </c>
      <c r="D56">
        <v>88</v>
      </c>
      <c r="E56">
        <v>80</v>
      </c>
      <c r="F56">
        <v>92</v>
      </c>
      <c r="G56">
        <v>93</v>
      </c>
      <c r="H56">
        <v>93</v>
      </c>
      <c r="I56">
        <v>89</v>
      </c>
      <c r="J56">
        <v>87</v>
      </c>
      <c r="K56">
        <v>85</v>
      </c>
      <c r="L56">
        <v>83</v>
      </c>
      <c r="M56">
        <v>95</v>
      </c>
      <c r="N56">
        <v>83</v>
      </c>
      <c r="O56">
        <v>86</v>
      </c>
      <c r="P56">
        <v>90</v>
      </c>
      <c r="Q56">
        <v>93</v>
      </c>
      <c r="R56">
        <v>86</v>
      </c>
      <c r="S56">
        <v>84</v>
      </c>
      <c r="T56">
        <v>88</v>
      </c>
      <c r="U56">
        <v>89</v>
      </c>
    </row>
    <row r="57" spans="1:21" x14ac:dyDescent="0.2">
      <c r="A57" s="8">
        <v>43702</v>
      </c>
      <c r="B57">
        <v>84</v>
      </c>
      <c r="C57">
        <v>84</v>
      </c>
      <c r="D57">
        <v>90</v>
      </c>
      <c r="E57">
        <v>82</v>
      </c>
      <c r="F57">
        <v>92</v>
      </c>
      <c r="G57">
        <v>90</v>
      </c>
      <c r="H57">
        <v>91</v>
      </c>
      <c r="I57">
        <v>88</v>
      </c>
      <c r="J57">
        <v>82</v>
      </c>
      <c r="K57">
        <v>84</v>
      </c>
      <c r="L57">
        <v>85</v>
      </c>
      <c r="M57">
        <v>94</v>
      </c>
      <c r="N57">
        <v>78</v>
      </c>
      <c r="O57">
        <v>87</v>
      </c>
      <c r="P57">
        <v>89</v>
      </c>
      <c r="Q57">
        <v>95</v>
      </c>
      <c r="R57">
        <v>85</v>
      </c>
      <c r="S57">
        <v>82</v>
      </c>
      <c r="T57">
        <v>84</v>
      </c>
      <c r="U57">
        <v>84</v>
      </c>
    </row>
    <row r="58" spans="1:21" x14ac:dyDescent="0.2">
      <c r="A58" s="8">
        <v>43703</v>
      </c>
      <c r="B58">
        <v>88</v>
      </c>
      <c r="C58">
        <v>87</v>
      </c>
      <c r="D58">
        <v>91</v>
      </c>
      <c r="E58">
        <v>89</v>
      </c>
      <c r="F58">
        <v>90</v>
      </c>
      <c r="G58">
        <v>91</v>
      </c>
      <c r="H58">
        <v>88</v>
      </c>
      <c r="I58">
        <v>89</v>
      </c>
      <c r="J58">
        <v>86</v>
      </c>
      <c r="K58">
        <v>84</v>
      </c>
      <c r="L58">
        <v>88</v>
      </c>
      <c r="M58">
        <v>92</v>
      </c>
      <c r="N58">
        <v>83</v>
      </c>
      <c r="O58">
        <v>90</v>
      </c>
      <c r="P58">
        <v>90</v>
      </c>
      <c r="Q58">
        <v>99</v>
      </c>
      <c r="R58">
        <v>90</v>
      </c>
      <c r="S58">
        <v>82</v>
      </c>
      <c r="T58">
        <v>86</v>
      </c>
      <c r="U58">
        <v>86</v>
      </c>
    </row>
    <row r="59" spans="1:21" x14ac:dyDescent="0.2">
      <c r="A59" s="8">
        <v>43704</v>
      </c>
      <c r="B59">
        <v>84</v>
      </c>
      <c r="C59">
        <v>90</v>
      </c>
      <c r="D59">
        <v>89</v>
      </c>
      <c r="E59">
        <v>88</v>
      </c>
      <c r="F59">
        <v>90</v>
      </c>
      <c r="G59">
        <v>91</v>
      </c>
      <c r="H59">
        <v>84</v>
      </c>
      <c r="I59">
        <v>90</v>
      </c>
      <c r="J59">
        <v>88</v>
      </c>
      <c r="K59">
        <v>86</v>
      </c>
      <c r="L59">
        <v>88</v>
      </c>
      <c r="M59">
        <v>88</v>
      </c>
      <c r="N59">
        <v>80</v>
      </c>
      <c r="O59">
        <v>83</v>
      </c>
      <c r="P59">
        <v>89</v>
      </c>
      <c r="Q59">
        <v>95</v>
      </c>
      <c r="R59">
        <v>90</v>
      </c>
      <c r="S59">
        <v>86</v>
      </c>
      <c r="T59">
        <v>88</v>
      </c>
      <c r="U59">
        <v>85</v>
      </c>
    </row>
    <row r="60" spans="1:21" x14ac:dyDescent="0.2">
      <c r="A60" s="8">
        <v>43705</v>
      </c>
      <c r="B60">
        <v>86</v>
      </c>
      <c r="C60">
        <v>90</v>
      </c>
      <c r="D60">
        <v>90</v>
      </c>
      <c r="E60">
        <v>90</v>
      </c>
      <c r="F60">
        <v>92</v>
      </c>
      <c r="G60">
        <v>81</v>
      </c>
      <c r="H60">
        <v>82</v>
      </c>
      <c r="I60">
        <v>91</v>
      </c>
      <c r="J60">
        <v>90</v>
      </c>
      <c r="K60">
        <v>86</v>
      </c>
      <c r="L60">
        <v>90</v>
      </c>
      <c r="M60">
        <v>88</v>
      </c>
      <c r="N60">
        <v>86</v>
      </c>
      <c r="O60">
        <v>75</v>
      </c>
      <c r="P60">
        <v>87</v>
      </c>
      <c r="Q60">
        <v>95</v>
      </c>
      <c r="R60">
        <v>80</v>
      </c>
      <c r="S60">
        <v>90</v>
      </c>
      <c r="T60">
        <v>91</v>
      </c>
      <c r="U60">
        <v>83</v>
      </c>
    </row>
    <row r="61" spans="1:21" x14ac:dyDescent="0.2">
      <c r="A61" s="8">
        <v>43706</v>
      </c>
      <c r="B61">
        <v>88</v>
      </c>
      <c r="C61">
        <v>91</v>
      </c>
      <c r="D61">
        <v>93</v>
      </c>
      <c r="E61">
        <v>91</v>
      </c>
      <c r="F61">
        <v>92</v>
      </c>
      <c r="G61">
        <v>86</v>
      </c>
      <c r="H61">
        <v>82</v>
      </c>
      <c r="I61">
        <v>89</v>
      </c>
      <c r="J61">
        <v>87</v>
      </c>
      <c r="K61">
        <v>85</v>
      </c>
      <c r="L61">
        <v>90</v>
      </c>
      <c r="M61">
        <v>89</v>
      </c>
      <c r="N61">
        <v>89</v>
      </c>
      <c r="O61">
        <v>86</v>
      </c>
      <c r="P61">
        <v>84</v>
      </c>
      <c r="Q61">
        <v>93</v>
      </c>
      <c r="R61">
        <v>86</v>
      </c>
      <c r="S61">
        <v>92</v>
      </c>
      <c r="T61">
        <v>92</v>
      </c>
      <c r="U61">
        <v>81</v>
      </c>
    </row>
    <row r="62" spans="1:21" x14ac:dyDescent="0.2">
      <c r="A62" s="8">
        <v>43707</v>
      </c>
      <c r="B62">
        <v>84</v>
      </c>
      <c r="C62">
        <v>91</v>
      </c>
      <c r="D62">
        <v>93</v>
      </c>
      <c r="E62">
        <v>91</v>
      </c>
      <c r="F62">
        <v>88</v>
      </c>
      <c r="G62">
        <v>81</v>
      </c>
      <c r="H62">
        <v>78</v>
      </c>
      <c r="I62">
        <v>88</v>
      </c>
      <c r="J62">
        <v>88</v>
      </c>
      <c r="K62">
        <v>85</v>
      </c>
      <c r="L62">
        <v>88</v>
      </c>
      <c r="M62">
        <v>89</v>
      </c>
      <c r="N62">
        <v>89</v>
      </c>
      <c r="O62">
        <v>79</v>
      </c>
      <c r="P62">
        <v>85</v>
      </c>
      <c r="Q62">
        <v>90</v>
      </c>
      <c r="R62">
        <v>80</v>
      </c>
      <c r="S62">
        <v>87</v>
      </c>
      <c r="T62">
        <v>88</v>
      </c>
      <c r="U62">
        <v>74</v>
      </c>
    </row>
    <row r="63" spans="1:21" x14ac:dyDescent="0.2">
      <c r="A63" s="8">
        <v>43708</v>
      </c>
      <c r="B63">
        <v>82</v>
      </c>
      <c r="C63">
        <v>88</v>
      </c>
      <c r="D63">
        <v>91</v>
      </c>
      <c r="E63">
        <v>84</v>
      </c>
      <c r="F63">
        <v>87</v>
      </c>
      <c r="G63">
        <v>82</v>
      </c>
      <c r="H63">
        <v>77</v>
      </c>
      <c r="I63">
        <v>89</v>
      </c>
      <c r="J63">
        <v>87</v>
      </c>
      <c r="K63">
        <v>85</v>
      </c>
      <c r="L63">
        <v>80</v>
      </c>
      <c r="M63">
        <v>86</v>
      </c>
      <c r="N63">
        <v>88</v>
      </c>
      <c r="O63">
        <v>79</v>
      </c>
      <c r="P63">
        <v>89</v>
      </c>
      <c r="Q63">
        <v>92</v>
      </c>
      <c r="R63">
        <v>89</v>
      </c>
      <c r="S63">
        <v>90</v>
      </c>
      <c r="T63">
        <v>89</v>
      </c>
      <c r="U63">
        <v>84</v>
      </c>
    </row>
    <row r="64" spans="1:21" x14ac:dyDescent="0.2">
      <c r="A64" s="8">
        <v>43709</v>
      </c>
      <c r="B64">
        <v>80</v>
      </c>
      <c r="C64">
        <v>88</v>
      </c>
      <c r="D64">
        <v>87</v>
      </c>
      <c r="E64">
        <v>88</v>
      </c>
      <c r="F64">
        <v>79</v>
      </c>
      <c r="G64">
        <v>80</v>
      </c>
      <c r="H64">
        <v>84</v>
      </c>
      <c r="I64">
        <v>88</v>
      </c>
      <c r="J64">
        <v>82</v>
      </c>
      <c r="K64">
        <v>85</v>
      </c>
      <c r="L64">
        <v>85</v>
      </c>
      <c r="M64">
        <v>84</v>
      </c>
      <c r="N64">
        <v>81</v>
      </c>
      <c r="O64">
        <v>71</v>
      </c>
      <c r="P64">
        <v>90</v>
      </c>
      <c r="Q64">
        <v>95</v>
      </c>
      <c r="R64">
        <v>91</v>
      </c>
      <c r="S64">
        <v>90</v>
      </c>
      <c r="T64">
        <v>90</v>
      </c>
      <c r="U64">
        <v>87</v>
      </c>
    </row>
    <row r="65" spans="1:21" x14ac:dyDescent="0.2">
      <c r="A65" s="8">
        <v>43710</v>
      </c>
      <c r="B65">
        <v>73</v>
      </c>
      <c r="C65">
        <v>91</v>
      </c>
      <c r="D65">
        <v>84</v>
      </c>
      <c r="E65">
        <v>91</v>
      </c>
      <c r="F65">
        <v>81</v>
      </c>
      <c r="G65">
        <v>75</v>
      </c>
      <c r="H65">
        <v>84</v>
      </c>
      <c r="I65">
        <v>86</v>
      </c>
      <c r="J65">
        <v>80</v>
      </c>
      <c r="K65">
        <v>88</v>
      </c>
      <c r="L65">
        <v>86</v>
      </c>
      <c r="M65">
        <v>83</v>
      </c>
      <c r="N65">
        <v>85</v>
      </c>
      <c r="O65">
        <v>78</v>
      </c>
      <c r="P65">
        <v>91</v>
      </c>
      <c r="Q65">
        <v>96</v>
      </c>
      <c r="R65">
        <v>89</v>
      </c>
      <c r="S65">
        <v>84</v>
      </c>
      <c r="T65">
        <v>90</v>
      </c>
      <c r="U65">
        <v>90</v>
      </c>
    </row>
    <row r="66" spans="1:21" x14ac:dyDescent="0.2">
      <c r="A66" s="8">
        <v>43711</v>
      </c>
      <c r="B66">
        <v>87</v>
      </c>
      <c r="C66">
        <v>93</v>
      </c>
      <c r="D66">
        <v>77</v>
      </c>
      <c r="E66">
        <v>84</v>
      </c>
      <c r="F66">
        <v>82</v>
      </c>
      <c r="G66">
        <v>73</v>
      </c>
      <c r="H66">
        <v>89</v>
      </c>
      <c r="I66">
        <v>87</v>
      </c>
      <c r="J66">
        <v>81</v>
      </c>
      <c r="K66">
        <v>87</v>
      </c>
      <c r="L66">
        <v>85</v>
      </c>
      <c r="M66">
        <v>88</v>
      </c>
      <c r="N66">
        <v>83</v>
      </c>
      <c r="O66">
        <v>79</v>
      </c>
      <c r="P66">
        <v>92</v>
      </c>
      <c r="Q66">
        <v>95</v>
      </c>
      <c r="R66">
        <v>85</v>
      </c>
      <c r="S66">
        <v>90</v>
      </c>
      <c r="T66">
        <v>92</v>
      </c>
      <c r="U66">
        <v>89</v>
      </c>
    </row>
    <row r="67" spans="1:21" x14ac:dyDescent="0.2">
      <c r="A67" s="8">
        <v>43712</v>
      </c>
      <c r="B67">
        <v>84</v>
      </c>
      <c r="C67">
        <v>81</v>
      </c>
      <c r="D67">
        <v>90</v>
      </c>
      <c r="E67">
        <v>93</v>
      </c>
      <c r="F67">
        <v>87</v>
      </c>
      <c r="G67">
        <v>81</v>
      </c>
      <c r="H67">
        <v>95</v>
      </c>
      <c r="I67">
        <v>87</v>
      </c>
      <c r="J67">
        <v>82</v>
      </c>
      <c r="K67">
        <v>85</v>
      </c>
      <c r="L67">
        <v>88</v>
      </c>
      <c r="M67">
        <v>91</v>
      </c>
      <c r="N67">
        <v>85</v>
      </c>
      <c r="O67">
        <v>83</v>
      </c>
      <c r="P67">
        <v>84</v>
      </c>
      <c r="Q67">
        <v>80</v>
      </c>
      <c r="R67">
        <v>77</v>
      </c>
      <c r="S67">
        <v>89</v>
      </c>
      <c r="T67">
        <v>82</v>
      </c>
      <c r="U67">
        <v>92</v>
      </c>
    </row>
    <row r="68" spans="1:21" x14ac:dyDescent="0.2">
      <c r="A68" s="8">
        <v>43713</v>
      </c>
      <c r="B68">
        <v>87</v>
      </c>
      <c r="C68">
        <v>81</v>
      </c>
      <c r="D68">
        <v>91</v>
      </c>
      <c r="E68">
        <v>96</v>
      </c>
      <c r="F68">
        <v>81</v>
      </c>
      <c r="G68">
        <v>90</v>
      </c>
      <c r="H68">
        <v>93</v>
      </c>
      <c r="I68">
        <v>84</v>
      </c>
      <c r="J68">
        <v>84</v>
      </c>
      <c r="K68">
        <v>81</v>
      </c>
      <c r="L68">
        <v>83</v>
      </c>
      <c r="M68">
        <v>89</v>
      </c>
      <c r="N68">
        <v>88</v>
      </c>
      <c r="O68">
        <v>83</v>
      </c>
      <c r="P68">
        <v>85</v>
      </c>
      <c r="Q68">
        <v>78</v>
      </c>
      <c r="R68">
        <v>85</v>
      </c>
      <c r="S68">
        <v>89</v>
      </c>
      <c r="T68">
        <v>89</v>
      </c>
      <c r="U68">
        <v>87</v>
      </c>
    </row>
    <row r="69" spans="1:21" x14ac:dyDescent="0.2">
      <c r="A69" s="8">
        <v>43714</v>
      </c>
      <c r="B69">
        <v>89</v>
      </c>
      <c r="C69">
        <v>82</v>
      </c>
      <c r="D69">
        <v>89</v>
      </c>
      <c r="E69">
        <v>96</v>
      </c>
      <c r="F69">
        <v>66</v>
      </c>
      <c r="G69">
        <v>88</v>
      </c>
      <c r="H69">
        <v>91</v>
      </c>
      <c r="I69">
        <v>73</v>
      </c>
      <c r="J69">
        <v>81</v>
      </c>
      <c r="K69">
        <v>81</v>
      </c>
      <c r="L69">
        <v>85</v>
      </c>
      <c r="M69">
        <v>85</v>
      </c>
      <c r="N69">
        <v>87</v>
      </c>
      <c r="O69">
        <v>85</v>
      </c>
      <c r="P69">
        <v>90</v>
      </c>
      <c r="Q69">
        <v>75</v>
      </c>
      <c r="R69">
        <v>85</v>
      </c>
      <c r="S69">
        <v>88</v>
      </c>
      <c r="T69">
        <v>91</v>
      </c>
      <c r="U69">
        <v>85</v>
      </c>
    </row>
    <row r="70" spans="1:21" x14ac:dyDescent="0.2">
      <c r="A70" s="8">
        <v>43715</v>
      </c>
      <c r="B70">
        <v>89</v>
      </c>
      <c r="C70">
        <v>86</v>
      </c>
      <c r="D70">
        <v>90</v>
      </c>
      <c r="E70">
        <v>91</v>
      </c>
      <c r="F70">
        <v>66</v>
      </c>
      <c r="G70">
        <v>87</v>
      </c>
      <c r="H70">
        <v>88</v>
      </c>
      <c r="I70">
        <v>75</v>
      </c>
      <c r="J70">
        <v>86</v>
      </c>
      <c r="K70">
        <v>83</v>
      </c>
      <c r="L70">
        <v>80</v>
      </c>
      <c r="M70">
        <v>86</v>
      </c>
      <c r="N70">
        <v>89</v>
      </c>
      <c r="O70">
        <v>84</v>
      </c>
      <c r="P70">
        <v>91</v>
      </c>
      <c r="Q70">
        <v>69</v>
      </c>
      <c r="R70">
        <v>92</v>
      </c>
      <c r="S70">
        <v>88</v>
      </c>
      <c r="T70">
        <v>90</v>
      </c>
      <c r="U70">
        <v>85</v>
      </c>
    </row>
    <row r="71" spans="1:21" x14ac:dyDescent="0.2">
      <c r="A71" s="8">
        <v>43716</v>
      </c>
      <c r="B71">
        <v>89</v>
      </c>
      <c r="C71">
        <v>88</v>
      </c>
      <c r="D71">
        <v>89</v>
      </c>
      <c r="E71">
        <v>91</v>
      </c>
      <c r="F71">
        <v>75</v>
      </c>
      <c r="G71">
        <v>86</v>
      </c>
      <c r="H71">
        <v>87</v>
      </c>
      <c r="I71">
        <v>81</v>
      </c>
      <c r="J71">
        <v>73</v>
      </c>
      <c r="K71">
        <v>85</v>
      </c>
      <c r="L71">
        <v>83</v>
      </c>
      <c r="M71">
        <v>88</v>
      </c>
      <c r="N71">
        <v>90</v>
      </c>
      <c r="O71">
        <v>87</v>
      </c>
      <c r="P71">
        <v>93</v>
      </c>
      <c r="Q71">
        <v>73</v>
      </c>
      <c r="R71">
        <v>88</v>
      </c>
      <c r="S71">
        <v>91</v>
      </c>
      <c r="T71">
        <v>84</v>
      </c>
      <c r="U71">
        <v>84</v>
      </c>
    </row>
    <row r="72" spans="1:21" x14ac:dyDescent="0.2">
      <c r="A72" s="8">
        <v>43717</v>
      </c>
      <c r="B72">
        <v>91</v>
      </c>
      <c r="C72">
        <v>84</v>
      </c>
      <c r="D72">
        <v>79</v>
      </c>
      <c r="E72">
        <v>77</v>
      </c>
      <c r="F72">
        <v>80</v>
      </c>
      <c r="G72">
        <v>86</v>
      </c>
      <c r="H72">
        <v>91</v>
      </c>
      <c r="I72">
        <v>82</v>
      </c>
      <c r="J72">
        <v>84</v>
      </c>
      <c r="K72">
        <v>86</v>
      </c>
      <c r="L72">
        <v>83</v>
      </c>
      <c r="M72">
        <v>89</v>
      </c>
      <c r="N72">
        <v>88</v>
      </c>
      <c r="O72">
        <v>84</v>
      </c>
      <c r="P72">
        <v>92</v>
      </c>
      <c r="Q72">
        <v>81</v>
      </c>
      <c r="R72">
        <v>83</v>
      </c>
      <c r="S72">
        <v>90</v>
      </c>
      <c r="T72">
        <v>84</v>
      </c>
      <c r="U72">
        <v>87</v>
      </c>
    </row>
    <row r="73" spans="1:21" x14ac:dyDescent="0.2">
      <c r="A73" s="8">
        <v>43718</v>
      </c>
      <c r="B73">
        <v>84</v>
      </c>
      <c r="C73">
        <v>80</v>
      </c>
      <c r="D73">
        <v>78</v>
      </c>
      <c r="E73">
        <v>87</v>
      </c>
      <c r="F73">
        <v>82</v>
      </c>
      <c r="G73">
        <v>89</v>
      </c>
      <c r="H73">
        <v>95</v>
      </c>
      <c r="I73">
        <v>79</v>
      </c>
      <c r="J73">
        <v>84</v>
      </c>
      <c r="K73">
        <v>84</v>
      </c>
      <c r="L73">
        <v>85</v>
      </c>
      <c r="M73">
        <v>89</v>
      </c>
      <c r="N73">
        <v>87</v>
      </c>
      <c r="O73">
        <v>80</v>
      </c>
      <c r="P73">
        <v>94</v>
      </c>
      <c r="Q73">
        <v>84</v>
      </c>
      <c r="R73">
        <v>84</v>
      </c>
      <c r="S73">
        <v>89</v>
      </c>
      <c r="T73">
        <v>86</v>
      </c>
      <c r="U73">
        <v>85</v>
      </c>
    </row>
    <row r="74" spans="1:21" x14ac:dyDescent="0.2">
      <c r="A74" s="8">
        <v>43719</v>
      </c>
      <c r="B74">
        <v>86</v>
      </c>
      <c r="C74">
        <v>82</v>
      </c>
      <c r="D74">
        <v>81</v>
      </c>
      <c r="E74">
        <v>87</v>
      </c>
      <c r="F74">
        <v>84</v>
      </c>
      <c r="G74">
        <v>87</v>
      </c>
      <c r="H74">
        <v>95</v>
      </c>
      <c r="I74">
        <v>80</v>
      </c>
      <c r="J74">
        <v>84</v>
      </c>
      <c r="K74">
        <v>84</v>
      </c>
      <c r="L74">
        <v>84</v>
      </c>
      <c r="M74">
        <v>89</v>
      </c>
      <c r="N74">
        <v>83</v>
      </c>
      <c r="O74">
        <v>75</v>
      </c>
      <c r="P74">
        <v>96</v>
      </c>
      <c r="Q74">
        <v>86</v>
      </c>
      <c r="R74">
        <v>83</v>
      </c>
      <c r="S74">
        <v>89</v>
      </c>
      <c r="T74">
        <v>90</v>
      </c>
      <c r="U74">
        <v>86</v>
      </c>
    </row>
    <row r="75" spans="1:21" x14ac:dyDescent="0.2">
      <c r="A75" s="8">
        <v>43720</v>
      </c>
      <c r="B75">
        <v>88</v>
      </c>
      <c r="C75">
        <v>86</v>
      </c>
      <c r="D75">
        <v>84</v>
      </c>
      <c r="E75">
        <v>87</v>
      </c>
      <c r="F75">
        <v>86</v>
      </c>
      <c r="G75">
        <v>84</v>
      </c>
      <c r="H75">
        <v>90</v>
      </c>
      <c r="I75">
        <v>81</v>
      </c>
      <c r="J75">
        <v>81</v>
      </c>
      <c r="K75">
        <v>86</v>
      </c>
      <c r="L75">
        <v>82</v>
      </c>
      <c r="M75">
        <v>86</v>
      </c>
      <c r="N75">
        <v>87</v>
      </c>
      <c r="O75">
        <v>81</v>
      </c>
      <c r="P75">
        <v>89</v>
      </c>
      <c r="Q75">
        <v>87</v>
      </c>
      <c r="R75">
        <v>81</v>
      </c>
      <c r="S75">
        <v>90</v>
      </c>
      <c r="T75">
        <v>92</v>
      </c>
      <c r="U75">
        <v>78</v>
      </c>
    </row>
    <row r="76" spans="1:21" x14ac:dyDescent="0.2">
      <c r="A76" s="8">
        <v>43721</v>
      </c>
      <c r="B76">
        <v>78</v>
      </c>
      <c r="C76">
        <v>87</v>
      </c>
      <c r="D76">
        <v>89</v>
      </c>
      <c r="E76">
        <v>86</v>
      </c>
      <c r="F76">
        <v>87</v>
      </c>
      <c r="G76">
        <v>84</v>
      </c>
      <c r="H76">
        <v>75</v>
      </c>
      <c r="I76">
        <v>84</v>
      </c>
      <c r="J76">
        <v>79</v>
      </c>
      <c r="K76">
        <v>88</v>
      </c>
      <c r="L76">
        <v>70</v>
      </c>
      <c r="M76">
        <v>85</v>
      </c>
      <c r="N76">
        <v>86</v>
      </c>
      <c r="O76">
        <v>80</v>
      </c>
      <c r="P76">
        <v>86</v>
      </c>
      <c r="Q76">
        <v>89</v>
      </c>
      <c r="R76">
        <v>81</v>
      </c>
      <c r="S76">
        <v>87</v>
      </c>
      <c r="T76">
        <v>86</v>
      </c>
      <c r="U76">
        <v>75</v>
      </c>
    </row>
    <row r="77" spans="1:21" x14ac:dyDescent="0.2">
      <c r="A77" s="8">
        <v>43722</v>
      </c>
      <c r="B77">
        <v>79</v>
      </c>
      <c r="C77">
        <v>87</v>
      </c>
      <c r="D77">
        <v>87</v>
      </c>
      <c r="E77">
        <v>87</v>
      </c>
      <c r="F77">
        <v>86</v>
      </c>
      <c r="G77">
        <v>86</v>
      </c>
      <c r="H77">
        <v>78</v>
      </c>
      <c r="I77">
        <v>82</v>
      </c>
      <c r="J77">
        <v>79</v>
      </c>
      <c r="K77">
        <v>88</v>
      </c>
      <c r="L77">
        <v>80</v>
      </c>
      <c r="M77">
        <v>81</v>
      </c>
      <c r="N77">
        <v>88</v>
      </c>
      <c r="O77">
        <v>82</v>
      </c>
      <c r="P77">
        <v>91</v>
      </c>
      <c r="Q77">
        <v>92</v>
      </c>
      <c r="R77">
        <v>83</v>
      </c>
      <c r="S77">
        <v>82</v>
      </c>
      <c r="T77">
        <v>78</v>
      </c>
      <c r="U77">
        <v>77</v>
      </c>
    </row>
    <row r="78" spans="1:21" x14ac:dyDescent="0.2">
      <c r="A78" s="8">
        <v>43723</v>
      </c>
      <c r="B78">
        <v>86</v>
      </c>
      <c r="C78">
        <v>88</v>
      </c>
      <c r="D78">
        <v>87</v>
      </c>
      <c r="E78">
        <v>89</v>
      </c>
      <c r="F78">
        <v>80</v>
      </c>
      <c r="G78">
        <v>77</v>
      </c>
      <c r="H78">
        <v>91</v>
      </c>
      <c r="I78">
        <v>82</v>
      </c>
      <c r="J78">
        <v>73</v>
      </c>
      <c r="K78">
        <v>91</v>
      </c>
      <c r="L78">
        <v>82</v>
      </c>
      <c r="M78">
        <v>82</v>
      </c>
      <c r="N78">
        <v>79</v>
      </c>
      <c r="O78">
        <v>79</v>
      </c>
      <c r="P78">
        <v>91</v>
      </c>
      <c r="Q78">
        <v>86</v>
      </c>
      <c r="R78">
        <v>87</v>
      </c>
      <c r="S78">
        <v>84</v>
      </c>
      <c r="T78">
        <v>80</v>
      </c>
      <c r="U78">
        <v>80</v>
      </c>
    </row>
    <row r="79" spans="1:21" x14ac:dyDescent="0.2">
      <c r="A79" s="8">
        <v>43724</v>
      </c>
      <c r="B79">
        <v>82</v>
      </c>
      <c r="C79">
        <v>88</v>
      </c>
      <c r="D79">
        <v>88</v>
      </c>
      <c r="E79">
        <v>81</v>
      </c>
      <c r="F79">
        <v>75</v>
      </c>
      <c r="G79">
        <v>77</v>
      </c>
      <c r="H79">
        <v>88</v>
      </c>
      <c r="I79">
        <v>81</v>
      </c>
      <c r="J79">
        <v>75</v>
      </c>
      <c r="K79">
        <v>88</v>
      </c>
      <c r="L79">
        <v>83</v>
      </c>
      <c r="M79">
        <v>76</v>
      </c>
      <c r="N79">
        <v>80</v>
      </c>
      <c r="O79">
        <v>82</v>
      </c>
      <c r="P79">
        <v>89</v>
      </c>
      <c r="Q79">
        <v>72</v>
      </c>
      <c r="R79">
        <v>86</v>
      </c>
      <c r="S79">
        <v>89</v>
      </c>
      <c r="T79">
        <v>86</v>
      </c>
      <c r="U79">
        <v>79</v>
      </c>
    </row>
    <row r="80" spans="1:21" x14ac:dyDescent="0.2">
      <c r="A80" s="8">
        <v>43725</v>
      </c>
      <c r="B80">
        <v>82</v>
      </c>
      <c r="C80">
        <v>90</v>
      </c>
      <c r="D80">
        <v>87</v>
      </c>
      <c r="E80">
        <v>81</v>
      </c>
      <c r="F80">
        <v>73</v>
      </c>
      <c r="G80">
        <v>81</v>
      </c>
      <c r="H80">
        <v>86</v>
      </c>
      <c r="I80">
        <v>81</v>
      </c>
      <c r="J80">
        <v>80</v>
      </c>
      <c r="K80">
        <v>86</v>
      </c>
      <c r="L80">
        <v>85</v>
      </c>
      <c r="M80">
        <v>78</v>
      </c>
      <c r="N80">
        <v>69</v>
      </c>
      <c r="O80">
        <v>73</v>
      </c>
      <c r="P80">
        <v>95</v>
      </c>
      <c r="Q80">
        <v>79</v>
      </c>
      <c r="R80">
        <v>83</v>
      </c>
      <c r="S80">
        <v>79</v>
      </c>
      <c r="T80">
        <v>86</v>
      </c>
      <c r="U80">
        <v>83</v>
      </c>
    </row>
    <row r="81" spans="1:21" x14ac:dyDescent="0.2">
      <c r="A81" s="8">
        <v>43726</v>
      </c>
      <c r="B81">
        <v>78</v>
      </c>
      <c r="C81">
        <v>88</v>
      </c>
      <c r="D81">
        <v>82</v>
      </c>
      <c r="E81">
        <v>82</v>
      </c>
      <c r="F81">
        <v>73</v>
      </c>
      <c r="G81">
        <v>81</v>
      </c>
      <c r="H81">
        <v>81</v>
      </c>
      <c r="I81">
        <v>81</v>
      </c>
      <c r="J81">
        <v>79</v>
      </c>
      <c r="K81">
        <v>88</v>
      </c>
      <c r="L81">
        <v>85</v>
      </c>
      <c r="M81">
        <v>79</v>
      </c>
      <c r="N81">
        <v>82</v>
      </c>
      <c r="O81">
        <v>80</v>
      </c>
      <c r="P81">
        <v>93</v>
      </c>
      <c r="Q81">
        <v>77</v>
      </c>
      <c r="R81">
        <v>79</v>
      </c>
      <c r="S81">
        <v>78</v>
      </c>
      <c r="T81">
        <v>85</v>
      </c>
      <c r="U81">
        <v>83</v>
      </c>
    </row>
    <row r="82" spans="1:21" x14ac:dyDescent="0.2">
      <c r="A82" s="8">
        <v>43727</v>
      </c>
      <c r="B82">
        <v>79</v>
      </c>
      <c r="C82">
        <v>91</v>
      </c>
      <c r="D82">
        <v>80</v>
      </c>
      <c r="E82">
        <v>79</v>
      </c>
      <c r="F82">
        <v>84</v>
      </c>
      <c r="G82">
        <v>82</v>
      </c>
      <c r="H82">
        <v>80</v>
      </c>
      <c r="I82">
        <v>84</v>
      </c>
      <c r="J82">
        <v>78</v>
      </c>
      <c r="K82">
        <v>90</v>
      </c>
      <c r="L82">
        <v>79</v>
      </c>
      <c r="M82">
        <v>82</v>
      </c>
      <c r="N82">
        <v>81</v>
      </c>
      <c r="O82">
        <v>74</v>
      </c>
      <c r="P82">
        <v>92</v>
      </c>
      <c r="Q82">
        <v>77</v>
      </c>
      <c r="R82">
        <v>81</v>
      </c>
      <c r="S82">
        <v>84</v>
      </c>
      <c r="T82">
        <v>84</v>
      </c>
      <c r="U82">
        <v>87</v>
      </c>
    </row>
    <row r="83" spans="1:21" x14ac:dyDescent="0.2">
      <c r="A83" s="8">
        <v>43728</v>
      </c>
      <c r="B83">
        <v>79</v>
      </c>
      <c r="C83">
        <v>95</v>
      </c>
      <c r="D83">
        <v>82</v>
      </c>
      <c r="E83">
        <v>68</v>
      </c>
      <c r="F83">
        <v>87</v>
      </c>
      <c r="G83">
        <v>84</v>
      </c>
      <c r="H83">
        <v>86</v>
      </c>
      <c r="I83">
        <v>87</v>
      </c>
      <c r="J83">
        <v>73</v>
      </c>
      <c r="K83">
        <v>90</v>
      </c>
      <c r="L83">
        <v>73</v>
      </c>
      <c r="M83">
        <v>81</v>
      </c>
      <c r="N83">
        <v>79</v>
      </c>
      <c r="O83">
        <v>81</v>
      </c>
      <c r="P83">
        <v>96</v>
      </c>
      <c r="Q83">
        <v>82</v>
      </c>
      <c r="R83">
        <v>79</v>
      </c>
      <c r="S83">
        <v>86</v>
      </c>
      <c r="T83">
        <v>83</v>
      </c>
      <c r="U83">
        <v>89</v>
      </c>
    </row>
    <row r="84" spans="1:21" x14ac:dyDescent="0.2">
      <c r="A84" s="8">
        <v>43729</v>
      </c>
      <c r="B84">
        <v>78</v>
      </c>
      <c r="C84">
        <v>89</v>
      </c>
      <c r="D84">
        <v>82</v>
      </c>
      <c r="E84">
        <v>79</v>
      </c>
      <c r="F84">
        <v>77</v>
      </c>
      <c r="G84">
        <v>86</v>
      </c>
      <c r="H84">
        <v>84</v>
      </c>
      <c r="I84">
        <v>82</v>
      </c>
      <c r="J84">
        <v>75</v>
      </c>
      <c r="K84">
        <v>90</v>
      </c>
      <c r="L84">
        <v>75</v>
      </c>
      <c r="M84">
        <v>78</v>
      </c>
      <c r="N84">
        <v>75</v>
      </c>
      <c r="O84">
        <v>79</v>
      </c>
      <c r="P84">
        <v>95</v>
      </c>
      <c r="Q84">
        <v>86</v>
      </c>
      <c r="R84">
        <v>85</v>
      </c>
      <c r="S84">
        <v>73</v>
      </c>
      <c r="T84">
        <v>87</v>
      </c>
      <c r="U84">
        <v>77</v>
      </c>
    </row>
    <row r="85" spans="1:21" x14ac:dyDescent="0.2">
      <c r="A85" s="8">
        <v>43730</v>
      </c>
      <c r="B85">
        <v>81</v>
      </c>
      <c r="C85">
        <v>70</v>
      </c>
      <c r="D85">
        <v>88</v>
      </c>
      <c r="E85">
        <v>72</v>
      </c>
      <c r="F85">
        <v>73</v>
      </c>
      <c r="G85">
        <v>87</v>
      </c>
      <c r="H85">
        <v>77</v>
      </c>
      <c r="I85">
        <v>75</v>
      </c>
      <c r="J85">
        <v>80</v>
      </c>
      <c r="K85">
        <v>86</v>
      </c>
      <c r="L85">
        <v>82</v>
      </c>
      <c r="M85">
        <v>86</v>
      </c>
      <c r="N85">
        <v>84</v>
      </c>
      <c r="O85">
        <v>84</v>
      </c>
      <c r="P85">
        <v>92</v>
      </c>
      <c r="Q85">
        <v>80</v>
      </c>
      <c r="R85">
        <v>87</v>
      </c>
      <c r="S85">
        <v>82</v>
      </c>
      <c r="T85">
        <v>82</v>
      </c>
      <c r="U85">
        <v>76</v>
      </c>
    </row>
    <row r="86" spans="1:21" x14ac:dyDescent="0.2">
      <c r="A86" s="8">
        <v>43731</v>
      </c>
      <c r="B86">
        <v>84</v>
      </c>
      <c r="C86">
        <v>80</v>
      </c>
      <c r="D86">
        <v>84</v>
      </c>
      <c r="E86">
        <v>75</v>
      </c>
      <c r="F86">
        <v>81</v>
      </c>
      <c r="G86">
        <v>88</v>
      </c>
      <c r="H86">
        <v>82</v>
      </c>
      <c r="I86">
        <v>81</v>
      </c>
      <c r="J86">
        <v>84</v>
      </c>
      <c r="K86">
        <v>87</v>
      </c>
      <c r="L86">
        <v>86</v>
      </c>
      <c r="M86">
        <v>83</v>
      </c>
      <c r="N86">
        <v>82</v>
      </c>
      <c r="O86">
        <v>83</v>
      </c>
      <c r="P86">
        <v>91</v>
      </c>
      <c r="Q86">
        <v>83</v>
      </c>
      <c r="R86">
        <v>81</v>
      </c>
      <c r="S86">
        <v>82</v>
      </c>
      <c r="T86">
        <v>77</v>
      </c>
      <c r="U86">
        <v>81</v>
      </c>
    </row>
    <row r="87" spans="1:21" x14ac:dyDescent="0.2">
      <c r="A87" s="8">
        <v>43732</v>
      </c>
      <c r="B87">
        <v>84</v>
      </c>
      <c r="C87">
        <v>82</v>
      </c>
      <c r="D87">
        <v>81</v>
      </c>
      <c r="E87">
        <v>78</v>
      </c>
      <c r="F87">
        <v>84</v>
      </c>
      <c r="G87">
        <v>69</v>
      </c>
      <c r="H87">
        <v>73</v>
      </c>
      <c r="I87">
        <v>80</v>
      </c>
      <c r="J87">
        <v>82</v>
      </c>
      <c r="K87">
        <v>88</v>
      </c>
      <c r="L87">
        <v>84</v>
      </c>
      <c r="M87">
        <v>89</v>
      </c>
      <c r="N87">
        <v>78</v>
      </c>
      <c r="O87">
        <v>85</v>
      </c>
      <c r="P87">
        <v>88</v>
      </c>
      <c r="Q87">
        <v>82</v>
      </c>
      <c r="R87">
        <v>78</v>
      </c>
      <c r="S87">
        <v>71</v>
      </c>
      <c r="T87">
        <v>78</v>
      </c>
      <c r="U87">
        <v>74</v>
      </c>
    </row>
    <row r="88" spans="1:21" x14ac:dyDescent="0.2">
      <c r="A88" s="8">
        <v>43733</v>
      </c>
      <c r="B88">
        <v>87</v>
      </c>
      <c r="C88">
        <v>66</v>
      </c>
      <c r="D88">
        <v>82</v>
      </c>
      <c r="E88">
        <v>81</v>
      </c>
      <c r="F88">
        <v>82</v>
      </c>
      <c r="G88">
        <v>66</v>
      </c>
      <c r="H88">
        <v>69</v>
      </c>
      <c r="I88">
        <v>82</v>
      </c>
      <c r="J88">
        <v>81</v>
      </c>
      <c r="K88">
        <v>85</v>
      </c>
      <c r="L88">
        <v>75</v>
      </c>
      <c r="M88">
        <v>87</v>
      </c>
      <c r="N88">
        <v>82</v>
      </c>
      <c r="O88">
        <v>87</v>
      </c>
      <c r="P88">
        <v>93</v>
      </c>
      <c r="Q88">
        <v>88</v>
      </c>
      <c r="R88">
        <v>82</v>
      </c>
      <c r="S88">
        <v>67</v>
      </c>
      <c r="T88">
        <v>77</v>
      </c>
      <c r="U88">
        <v>67</v>
      </c>
    </row>
    <row r="89" spans="1:21" x14ac:dyDescent="0.2">
      <c r="A89" s="8">
        <v>43734</v>
      </c>
      <c r="B89">
        <v>84</v>
      </c>
      <c r="C89">
        <v>70</v>
      </c>
      <c r="D89">
        <v>84</v>
      </c>
      <c r="E89">
        <v>82</v>
      </c>
      <c r="F89">
        <v>68</v>
      </c>
      <c r="G89">
        <v>72</v>
      </c>
      <c r="H89">
        <v>75</v>
      </c>
      <c r="I89">
        <v>82</v>
      </c>
      <c r="J89">
        <v>79</v>
      </c>
      <c r="K89">
        <v>77</v>
      </c>
      <c r="L89">
        <v>78</v>
      </c>
      <c r="M89">
        <v>84</v>
      </c>
      <c r="N89">
        <v>80</v>
      </c>
      <c r="O89">
        <v>85</v>
      </c>
      <c r="P89">
        <v>76</v>
      </c>
      <c r="Q89">
        <v>86</v>
      </c>
      <c r="R89">
        <v>86</v>
      </c>
      <c r="S89">
        <v>78</v>
      </c>
      <c r="T89">
        <v>74</v>
      </c>
      <c r="U89">
        <v>71</v>
      </c>
    </row>
    <row r="90" spans="1:21" x14ac:dyDescent="0.2">
      <c r="A90" s="8">
        <v>43735</v>
      </c>
      <c r="B90">
        <v>79</v>
      </c>
      <c r="C90">
        <v>64</v>
      </c>
      <c r="D90">
        <v>87</v>
      </c>
      <c r="E90">
        <v>78</v>
      </c>
      <c r="F90">
        <v>71</v>
      </c>
      <c r="G90">
        <v>75</v>
      </c>
      <c r="H90">
        <v>75</v>
      </c>
      <c r="I90">
        <v>82</v>
      </c>
      <c r="J90">
        <v>72</v>
      </c>
      <c r="K90">
        <v>86</v>
      </c>
      <c r="L90">
        <v>79</v>
      </c>
      <c r="M90">
        <v>85</v>
      </c>
      <c r="N90">
        <v>77</v>
      </c>
      <c r="O90">
        <v>80</v>
      </c>
      <c r="P90">
        <v>81</v>
      </c>
      <c r="Q90">
        <v>84</v>
      </c>
      <c r="R90">
        <v>88</v>
      </c>
      <c r="S90">
        <v>79</v>
      </c>
      <c r="T90">
        <v>78</v>
      </c>
      <c r="U90">
        <v>71</v>
      </c>
    </row>
    <row r="91" spans="1:21" x14ac:dyDescent="0.2">
      <c r="A91" s="8">
        <v>43736</v>
      </c>
      <c r="B91">
        <v>75</v>
      </c>
      <c r="C91">
        <v>68</v>
      </c>
      <c r="D91">
        <v>80</v>
      </c>
      <c r="E91">
        <v>80</v>
      </c>
      <c r="F91">
        <v>75</v>
      </c>
      <c r="G91">
        <v>78</v>
      </c>
      <c r="H91">
        <v>79</v>
      </c>
      <c r="I91">
        <v>73</v>
      </c>
      <c r="J91">
        <v>78</v>
      </c>
      <c r="K91">
        <v>85</v>
      </c>
      <c r="L91">
        <v>81</v>
      </c>
      <c r="M91">
        <v>85</v>
      </c>
      <c r="N91">
        <v>86</v>
      </c>
      <c r="O91">
        <v>83</v>
      </c>
      <c r="P91">
        <v>76</v>
      </c>
      <c r="Q91">
        <v>79</v>
      </c>
      <c r="R91">
        <v>86</v>
      </c>
      <c r="S91">
        <v>77</v>
      </c>
      <c r="T91">
        <v>74</v>
      </c>
      <c r="U91">
        <v>75</v>
      </c>
    </row>
    <row r="92" spans="1:21" x14ac:dyDescent="0.2">
      <c r="A92" s="8">
        <v>43737</v>
      </c>
      <c r="B92">
        <v>72</v>
      </c>
      <c r="C92">
        <v>77</v>
      </c>
      <c r="D92">
        <v>75</v>
      </c>
      <c r="E92">
        <v>77</v>
      </c>
      <c r="F92">
        <v>73</v>
      </c>
      <c r="G92">
        <v>71</v>
      </c>
      <c r="H92">
        <v>73</v>
      </c>
      <c r="I92">
        <v>66</v>
      </c>
      <c r="J92">
        <v>78</v>
      </c>
      <c r="K92">
        <v>85</v>
      </c>
      <c r="L92">
        <v>70</v>
      </c>
      <c r="M92">
        <v>81</v>
      </c>
      <c r="N92">
        <v>86</v>
      </c>
      <c r="O92">
        <v>72</v>
      </c>
      <c r="P92">
        <v>79</v>
      </c>
      <c r="Q92">
        <v>84</v>
      </c>
      <c r="R92">
        <v>84</v>
      </c>
      <c r="S92">
        <v>76</v>
      </c>
      <c r="T92">
        <v>71</v>
      </c>
      <c r="U92">
        <v>77</v>
      </c>
    </row>
    <row r="93" spans="1:21" x14ac:dyDescent="0.2">
      <c r="A93" s="8">
        <v>43738</v>
      </c>
      <c r="B93">
        <v>64</v>
      </c>
      <c r="C93">
        <v>86</v>
      </c>
      <c r="D93">
        <v>75</v>
      </c>
      <c r="E93">
        <v>71</v>
      </c>
      <c r="F93">
        <v>75</v>
      </c>
      <c r="G93">
        <v>71</v>
      </c>
      <c r="H93">
        <v>79</v>
      </c>
      <c r="I93">
        <v>71</v>
      </c>
      <c r="J93">
        <v>80</v>
      </c>
      <c r="K93">
        <v>82</v>
      </c>
      <c r="L93">
        <v>75</v>
      </c>
      <c r="M93">
        <v>79</v>
      </c>
      <c r="N93">
        <v>86</v>
      </c>
      <c r="O93">
        <v>74</v>
      </c>
      <c r="P93">
        <v>76</v>
      </c>
      <c r="Q93">
        <v>78</v>
      </c>
      <c r="R93">
        <v>72</v>
      </c>
      <c r="S93">
        <v>77</v>
      </c>
      <c r="T93">
        <v>84</v>
      </c>
      <c r="U93">
        <v>85</v>
      </c>
    </row>
    <row r="94" spans="1:21" x14ac:dyDescent="0.2">
      <c r="A94" s="8">
        <v>43739</v>
      </c>
      <c r="B94">
        <v>66</v>
      </c>
      <c r="C94">
        <v>75</v>
      </c>
      <c r="D94">
        <v>86</v>
      </c>
      <c r="E94">
        <v>73</v>
      </c>
      <c r="F94">
        <v>77</v>
      </c>
      <c r="G94">
        <v>75</v>
      </c>
      <c r="H94">
        <v>82</v>
      </c>
      <c r="I94">
        <v>72</v>
      </c>
      <c r="J94">
        <v>82</v>
      </c>
      <c r="K94">
        <v>83</v>
      </c>
      <c r="L94">
        <v>83</v>
      </c>
      <c r="M94">
        <v>80</v>
      </c>
      <c r="N94">
        <v>74</v>
      </c>
      <c r="O94">
        <v>76</v>
      </c>
      <c r="P94">
        <v>79</v>
      </c>
      <c r="Q94">
        <v>65</v>
      </c>
      <c r="R94">
        <v>75</v>
      </c>
      <c r="S94">
        <v>82</v>
      </c>
      <c r="T94">
        <v>86</v>
      </c>
      <c r="U94">
        <v>71</v>
      </c>
    </row>
    <row r="95" spans="1:21" x14ac:dyDescent="0.2">
      <c r="A95" s="8">
        <v>43740</v>
      </c>
      <c r="B95">
        <v>72</v>
      </c>
      <c r="C95">
        <v>73</v>
      </c>
      <c r="D95">
        <v>78</v>
      </c>
      <c r="E95">
        <v>75</v>
      </c>
      <c r="F95">
        <v>79</v>
      </c>
      <c r="G95">
        <v>80</v>
      </c>
      <c r="H95">
        <v>84</v>
      </c>
      <c r="I95">
        <v>68</v>
      </c>
      <c r="J95">
        <v>82</v>
      </c>
      <c r="K95">
        <v>85</v>
      </c>
      <c r="L95">
        <v>81</v>
      </c>
      <c r="M95">
        <v>82</v>
      </c>
      <c r="N95">
        <v>74</v>
      </c>
      <c r="O95">
        <v>75</v>
      </c>
      <c r="P95">
        <v>78</v>
      </c>
      <c r="Q95">
        <v>68</v>
      </c>
      <c r="R95">
        <v>72</v>
      </c>
      <c r="S95">
        <v>82</v>
      </c>
      <c r="T95">
        <v>85</v>
      </c>
      <c r="U95">
        <v>66</v>
      </c>
    </row>
    <row r="96" spans="1:21" x14ac:dyDescent="0.2">
      <c r="A96" s="8">
        <v>43741</v>
      </c>
      <c r="B96">
        <v>84</v>
      </c>
      <c r="C96">
        <v>75</v>
      </c>
      <c r="D96">
        <v>77</v>
      </c>
      <c r="E96">
        <v>84</v>
      </c>
      <c r="F96">
        <v>82</v>
      </c>
      <c r="G96">
        <v>81</v>
      </c>
      <c r="H96">
        <v>84</v>
      </c>
      <c r="I96">
        <v>66</v>
      </c>
      <c r="J96">
        <v>80</v>
      </c>
      <c r="K96">
        <v>83</v>
      </c>
      <c r="L96">
        <v>82</v>
      </c>
      <c r="M96">
        <v>77</v>
      </c>
      <c r="N96">
        <v>80</v>
      </c>
      <c r="O96">
        <v>76</v>
      </c>
      <c r="P96">
        <v>68</v>
      </c>
      <c r="Q96">
        <v>75</v>
      </c>
      <c r="R96">
        <v>74</v>
      </c>
      <c r="S96">
        <v>82</v>
      </c>
      <c r="T96">
        <v>78</v>
      </c>
      <c r="U96">
        <v>66</v>
      </c>
    </row>
    <row r="97" spans="1:21" x14ac:dyDescent="0.2">
      <c r="A97" s="8">
        <v>43742</v>
      </c>
      <c r="B97">
        <v>70</v>
      </c>
      <c r="C97">
        <v>78</v>
      </c>
      <c r="D97">
        <v>82</v>
      </c>
      <c r="E97">
        <v>71</v>
      </c>
      <c r="F97">
        <v>81</v>
      </c>
      <c r="G97">
        <v>80</v>
      </c>
      <c r="H97">
        <v>82</v>
      </c>
      <c r="I97">
        <v>77</v>
      </c>
      <c r="J97">
        <v>81</v>
      </c>
      <c r="K97">
        <v>85</v>
      </c>
      <c r="L97">
        <v>84</v>
      </c>
      <c r="M97">
        <v>80</v>
      </c>
      <c r="N97">
        <v>83</v>
      </c>
      <c r="O97">
        <v>74</v>
      </c>
      <c r="P97">
        <v>67</v>
      </c>
      <c r="Q97">
        <v>80</v>
      </c>
      <c r="R97">
        <v>82</v>
      </c>
      <c r="S97">
        <v>85</v>
      </c>
      <c r="T97">
        <v>65</v>
      </c>
      <c r="U97">
        <v>70</v>
      </c>
    </row>
    <row r="98" spans="1:21" x14ac:dyDescent="0.2">
      <c r="A98" s="8">
        <v>43743</v>
      </c>
      <c r="B98">
        <v>66</v>
      </c>
      <c r="C98">
        <v>81</v>
      </c>
      <c r="D98">
        <v>82</v>
      </c>
      <c r="E98">
        <v>73</v>
      </c>
      <c r="F98">
        <v>82</v>
      </c>
      <c r="G98">
        <v>79</v>
      </c>
      <c r="H98">
        <v>87</v>
      </c>
      <c r="I98">
        <v>78</v>
      </c>
      <c r="J98">
        <v>80</v>
      </c>
      <c r="K98">
        <v>81</v>
      </c>
      <c r="L98">
        <v>86</v>
      </c>
      <c r="M98">
        <v>81</v>
      </c>
      <c r="N98">
        <v>83</v>
      </c>
      <c r="O98">
        <v>62</v>
      </c>
      <c r="P98">
        <v>70</v>
      </c>
      <c r="Q98">
        <v>83</v>
      </c>
      <c r="R98">
        <v>82</v>
      </c>
      <c r="S98">
        <v>84</v>
      </c>
      <c r="T98">
        <v>71</v>
      </c>
      <c r="U98">
        <v>73</v>
      </c>
    </row>
    <row r="99" spans="1:21" x14ac:dyDescent="0.2">
      <c r="A99" s="8">
        <v>43744</v>
      </c>
      <c r="B99">
        <v>64</v>
      </c>
      <c r="C99">
        <v>82</v>
      </c>
      <c r="D99">
        <v>73</v>
      </c>
      <c r="E99">
        <v>71</v>
      </c>
      <c r="F99">
        <v>73</v>
      </c>
      <c r="G99">
        <v>70</v>
      </c>
      <c r="H99">
        <v>86</v>
      </c>
      <c r="I99">
        <v>75</v>
      </c>
      <c r="J99">
        <v>75</v>
      </c>
      <c r="K99">
        <v>72</v>
      </c>
      <c r="L99">
        <v>76</v>
      </c>
      <c r="M99">
        <v>82</v>
      </c>
      <c r="N99">
        <v>82</v>
      </c>
      <c r="O99">
        <v>71</v>
      </c>
      <c r="P99">
        <v>73</v>
      </c>
      <c r="Q99">
        <v>81</v>
      </c>
      <c r="R99">
        <v>83</v>
      </c>
      <c r="S99">
        <v>84</v>
      </c>
      <c r="T99">
        <v>78</v>
      </c>
      <c r="U99">
        <v>76</v>
      </c>
    </row>
    <row r="100" spans="1:21" x14ac:dyDescent="0.2">
      <c r="A100" s="8">
        <v>43745</v>
      </c>
      <c r="B100">
        <v>60</v>
      </c>
      <c r="C100">
        <v>82</v>
      </c>
      <c r="D100">
        <v>82</v>
      </c>
      <c r="E100">
        <v>73</v>
      </c>
      <c r="F100">
        <v>66</v>
      </c>
      <c r="G100">
        <v>68</v>
      </c>
      <c r="H100">
        <v>80</v>
      </c>
      <c r="I100">
        <v>73</v>
      </c>
      <c r="J100">
        <v>75</v>
      </c>
      <c r="K100">
        <v>72</v>
      </c>
      <c r="L100">
        <v>72</v>
      </c>
      <c r="M100">
        <v>83</v>
      </c>
      <c r="N100">
        <v>82</v>
      </c>
      <c r="O100">
        <v>79</v>
      </c>
      <c r="P100">
        <v>81</v>
      </c>
      <c r="Q100">
        <v>79</v>
      </c>
      <c r="R100">
        <v>68</v>
      </c>
      <c r="S100">
        <v>74</v>
      </c>
      <c r="T100">
        <v>82</v>
      </c>
      <c r="U100">
        <v>81</v>
      </c>
    </row>
    <row r="101" spans="1:21" x14ac:dyDescent="0.2">
      <c r="A101" s="8">
        <v>43746</v>
      </c>
      <c r="B101">
        <v>78</v>
      </c>
      <c r="C101">
        <v>82</v>
      </c>
      <c r="D101">
        <v>69</v>
      </c>
      <c r="E101">
        <v>73</v>
      </c>
      <c r="F101">
        <v>55</v>
      </c>
      <c r="G101">
        <v>79</v>
      </c>
      <c r="H101">
        <v>71</v>
      </c>
      <c r="I101">
        <v>73</v>
      </c>
      <c r="J101">
        <v>73</v>
      </c>
      <c r="K101">
        <v>73</v>
      </c>
      <c r="L101">
        <v>72</v>
      </c>
      <c r="M101">
        <v>83</v>
      </c>
      <c r="N101">
        <v>72</v>
      </c>
      <c r="O101">
        <v>80</v>
      </c>
      <c r="P101">
        <v>82</v>
      </c>
      <c r="Q101">
        <v>78</v>
      </c>
      <c r="R101">
        <v>63</v>
      </c>
      <c r="S101">
        <v>72</v>
      </c>
      <c r="T101">
        <v>86</v>
      </c>
      <c r="U101">
        <v>82</v>
      </c>
    </row>
    <row r="102" spans="1:21" x14ac:dyDescent="0.2">
      <c r="A102" s="8">
        <v>43747</v>
      </c>
      <c r="B102">
        <v>70</v>
      </c>
      <c r="C102">
        <v>80</v>
      </c>
      <c r="D102">
        <v>72</v>
      </c>
      <c r="E102">
        <v>72</v>
      </c>
      <c r="F102">
        <v>55</v>
      </c>
      <c r="G102">
        <v>66</v>
      </c>
      <c r="H102">
        <v>66</v>
      </c>
      <c r="I102">
        <v>73</v>
      </c>
      <c r="J102">
        <v>71</v>
      </c>
      <c r="K102">
        <v>70</v>
      </c>
      <c r="L102">
        <v>79</v>
      </c>
      <c r="M102">
        <v>81</v>
      </c>
      <c r="N102">
        <v>75</v>
      </c>
      <c r="O102">
        <v>85</v>
      </c>
      <c r="P102">
        <v>85</v>
      </c>
      <c r="Q102">
        <v>72</v>
      </c>
      <c r="R102">
        <v>70</v>
      </c>
      <c r="S102">
        <v>76</v>
      </c>
      <c r="T102">
        <v>86</v>
      </c>
      <c r="U102">
        <v>81</v>
      </c>
    </row>
    <row r="103" spans="1:21" x14ac:dyDescent="0.2">
      <c r="A103" s="8">
        <v>43748</v>
      </c>
      <c r="B103">
        <v>72</v>
      </c>
      <c r="C103">
        <v>82</v>
      </c>
      <c r="D103">
        <v>73</v>
      </c>
      <c r="E103">
        <v>72</v>
      </c>
      <c r="F103">
        <v>64</v>
      </c>
      <c r="G103">
        <v>73</v>
      </c>
      <c r="H103">
        <v>70</v>
      </c>
      <c r="I103">
        <v>73</v>
      </c>
      <c r="J103">
        <v>71</v>
      </c>
      <c r="K103">
        <v>77</v>
      </c>
      <c r="L103">
        <v>80</v>
      </c>
      <c r="M103">
        <v>81</v>
      </c>
      <c r="N103">
        <v>77</v>
      </c>
      <c r="O103">
        <v>74</v>
      </c>
      <c r="P103">
        <v>86</v>
      </c>
      <c r="Q103">
        <v>68</v>
      </c>
      <c r="R103">
        <v>73</v>
      </c>
      <c r="S103">
        <v>80</v>
      </c>
      <c r="T103">
        <v>86</v>
      </c>
      <c r="U103">
        <v>71</v>
      </c>
    </row>
    <row r="104" spans="1:21" x14ac:dyDescent="0.2">
      <c r="A104" s="8">
        <v>43749</v>
      </c>
      <c r="B104">
        <v>69</v>
      </c>
      <c r="C104">
        <v>82</v>
      </c>
      <c r="D104">
        <v>78</v>
      </c>
      <c r="E104">
        <v>73</v>
      </c>
      <c r="F104">
        <v>71</v>
      </c>
      <c r="G104">
        <v>75</v>
      </c>
      <c r="H104">
        <v>78</v>
      </c>
      <c r="I104">
        <v>66</v>
      </c>
      <c r="J104">
        <v>77</v>
      </c>
      <c r="K104">
        <v>82</v>
      </c>
      <c r="L104">
        <v>80</v>
      </c>
      <c r="M104">
        <v>67</v>
      </c>
      <c r="N104">
        <v>78</v>
      </c>
      <c r="O104">
        <v>77</v>
      </c>
      <c r="P104">
        <v>86</v>
      </c>
      <c r="Q104">
        <v>65</v>
      </c>
      <c r="R104">
        <v>75</v>
      </c>
      <c r="S104">
        <v>79</v>
      </c>
      <c r="T104">
        <v>86</v>
      </c>
      <c r="U104">
        <v>73</v>
      </c>
    </row>
    <row r="105" spans="1:21" x14ac:dyDescent="0.2">
      <c r="A105" s="8">
        <v>43750</v>
      </c>
      <c r="B105">
        <v>69</v>
      </c>
      <c r="C105">
        <v>79</v>
      </c>
      <c r="D105">
        <v>78</v>
      </c>
      <c r="E105">
        <v>70</v>
      </c>
      <c r="F105">
        <v>73</v>
      </c>
      <c r="G105">
        <v>78</v>
      </c>
      <c r="H105">
        <v>84</v>
      </c>
      <c r="I105">
        <v>78</v>
      </c>
      <c r="J105">
        <v>73</v>
      </c>
      <c r="K105">
        <v>74</v>
      </c>
      <c r="L105">
        <v>71</v>
      </c>
      <c r="M105">
        <v>72</v>
      </c>
      <c r="N105">
        <v>77</v>
      </c>
      <c r="O105">
        <v>66</v>
      </c>
      <c r="P105">
        <v>80</v>
      </c>
      <c r="Q105">
        <v>73</v>
      </c>
      <c r="R105">
        <v>79</v>
      </c>
      <c r="S105">
        <v>81</v>
      </c>
      <c r="T105">
        <v>85</v>
      </c>
      <c r="U105">
        <v>76</v>
      </c>
    </row>
    <row r="106" spans="1:21" x14ac:dyDescent="0.2">
      <c r="A106" s="8">
        <v>43751</v>
      </c>
      <c r="B106">
        <v>73</v>
      </c>
      <c r="C106">
        <v>80</v>
      </c>
      <c r="D106">
        <v>78</v>
      </c>
      <c r="E106">
        <v>64</v>
      </c>
      <c r="F106">
        <v>75</v>
      </c>
      <c r="G106">
        <v>78</v>
      </c>
      <c r="H106">
        <v>79</v>
      </c>
      <c r="I106">
        <v>78</v>
      </c>
      <c r="J106">
        <v>64</v>
      </c>
      <c r="K106">
        <v>77</v>
      </c>
      <c r="L106">
        <v>62</v>
      </c>
      <c r="M106">
        <v>74</v>
      </c>
      <c r="N106">
        <v>77</v>
      </c>
      <c r="O106">
        <v>73</v>
      </c>
      <c r="P106">
        <v>80</v>
      </c>
      <c r="Q106">
        <v>74</v>
      </c>
      <c r="R106">
        <v>75</v>
      </c>
      <c r="S106">
        <v>82</v>
      </c>
      <c r="T106">
        <v>85</v>
      </c>
      <c r="U106">
        <v>81</v>
      </c>
    </row>
    <row r="107" spans="1:21" x14ac:dyDescent="0.2">
      <c r="A107" s="8">
        <v>43752</v>
      </c>
      <c r="B107">
        <v>79</v>
      </c>
      <c r="C107">
        <v>68</v>
      </c>
      <c r="D107">
        <v>75</v>
      </c>
      <c r="E107">
        <v>75</v>
      </c>
      <c r="F107">
        <v>75</v>
      </c>
      <c r="G107">
        <v>75</v>
      </c>
      <c r="H107">
        <v>68</v>
      </c>
      <c r="I107">
        <v>78</v>
      </c>
      <c r="J107">
        <v>63</v>
      </c>
      <c r="K107">
        <v>78</v>
      </c>
      <c r="L107">
        <v>69</v>
      </c>
      <c r="M107">
        <v>78</v>
      </c>
      <c r="N107">
        <v>80</v>
      </c>
      <c r="O107">
        <v>66</v>
      </c>
      <c r="P107">
        <v>73</v>
      </c>
      <c r="Q107">
        <v>77</v>
      </c>
      <c r="R107">
        <v>77</v>
      </c>
      <c r="S107">
        <v>77</v>
      </c>
      <c r="T107">
        <v>75</v>
      </c>
      <c r="U107">
        <v>78</v>
      </c>
    </row>
    <row r="108" spans="1:21" x14ac:dyDescent="0.2">
      <c r="A108" s="8">
        <v>43753</v>
      </c>
      <c r="B108">
        <v>81</v>
      </c>
      <c r="C108">
        <v>63</v>
      </c>
      <c r="D108">
        <v>79</v>
      </c>
      <c r="E108">
        <v>73</v>
      </c>
      <c r="F108">
        <v>77</v>
      </c>
      <c r="G108">
        <v>75</v>
      </c>
      <c r="H108">
        <v>57</v>
      </c>
      <c r="I108">
        <v>69</v>
      </c>
      <c r="J108">
        <v>62</v>
      </c>
      <c r="K108">
        <v>79</v>
      </c>
      <c r="L108">
        <v>70</v>
      </c>
      <c r="M108">
        <v>78</v>
      </c>
      <c r="N108">
        <v>81</v>
      </c>
      <c r="O108">
        <v>61</v>
      </c>
      <c r="P108">
        <v>78</v>
      </c>
      <c r="Q108">
        <v>80</v>
      </c>
      <c r="R108">
        <v>77</v>
      </c>
      <c r="S108">
        <v>68</v>
      </c>
      <c r="T108">
        <v>69</v>
      </c>
      <c r="U108">
        <v>81</v>
      </c>
    </row>
    <row r="109" spans="1:21" x14ac:dyDescent="0.2">
      <c r="A109" s="8">
        <v>43754</v>
      </c>
      <c r="B109">
        <v>80</v>
      </c>
      <c r="C109">
        <v>57</v>
      </c>
      <c r="D109">
        <v>78</v>
      </c>
      <c r="E109">
        <v>77</v>
      </c>
      <c r="F109">
        <v>80</v>
      </c>
      <c r="G109">
        <v>62</v>
      </c>
      <c r="H109">
        <v>66</v>
      </c>
      <c r="I109">
        <v>72</v>
      </c>
      <c r="J109">
        <v>71</v>
      </c>
      <c r="K109">
        <v>76</v>
      </c>
      <c r="L109">
        <v>59</v>
      </c>
      <c r="M109">
        <v>76</v>
      </c>
      <c r="N109">
        <v>83</v>
      </c>
      <c r="O109">
        <v>61</v>
      </c>
      <c r="P109">
        <v>76</v>
      </c>
      <c r="Q109">
        <v>84</v>
      </c>
      <c r="R109">
        <v>74</v>
      </c>
      <c r="S109">
        <v>74</v>
      </c>
      <c r="T109">
        <v>70</v>
      </c>
      <c r="U109">
        <v>77</v>
      </c>
    </row>
    <row r="110" spans="1:21" x14ac:dyDescent="0.2">
      <c r="A110" s="8">
        <v>43755</v>
      </c>
      <c r="B110">
        <v>82</v>
      </c>
      <c r="C110">
        <v>66</v>
      </c>
      <c r="D110">
        <v>77</v>
      </c>
      <c r="E110">
        <v>80</v>
      </c>
      <c r="F110">
        <v>80</v>
      </c>
      <c r="G110">
        <v>60</v>
      </c>
      <c r="H110">
        <v>64</v>
      </c>
      <c r="I110">
        <v>68</v>
      </c>
      <c r="J110">
        <v>75</v>
      </c>
      <c r="K110">
        <v>75</v>
      </c>
      <c r="L110">
        <v>71</v>
      </c>
      <c r="M110">
        <v>82</v>
      </c>
      <c r="N110">
        <v>69</v>
      </c>
      <c r="O110">
        <v>51</v>
      </c>
      <c r="P110">
        <v>80</v>
      </c>
      <c r="Q110">
        <v>85</v>
      </c>
      <c r="R110">
        <v>75</v>
      </c>
      <c r="S110">
        <v>72</v>
      </c>
      <c r="T110">
        <v>80</v>
      </c>
      <c r="U110">
        <v>70</v>
      </c>
    </row>
    <row r="111" spans="1:21" x14ac:dyDescent="0.2">
      <c r="A111" s="8">
        <v>43756</v>
      </c>
      <c r="B111">
        <v>66</v>
      </c>
      <c r="C111">
        <v>64</v>
      </c>
      <c r="D111">
        <v>78</v>
      </c>
      <c r="E111">
        <v>71</v>
      </c>
      <c r="F111">
        <v>80</v>
      </c>
      <c r="G111">
        <v>64</v>
      </c>
      <c r="H111">
        <v>68</v>
      </c>
      <c r="I111">
        <v>70</v>
      </c>
      <c r="J111">
        <v>73</v>
      </c>
      <c r="K111">
        <v>81</v>
      </c>
      <c r="L111">
        <v>77</v>
      </c>
      <c r="M111">
        <v>77</v>
      </c>
      <c r="N111">
        <v>67</v>
      </c>
      <c r="O111">
        <v>55</v>
      </c>
      <c r="P111">
        <v>78</v>
      </c>
      <c r="Q111">
        <v>80</v>
      </c>
      <c r="R111">
        <v>74</v>
      </c>
      <c r="S111">
        <v>73</v>
      </c>
      <c r="T111">
        <v>76</v>
      </c>
      <c r="U111">
        <v>66</v>
      </c>
    </row>
    <row r="112" spans="1:21" x14ac:dyDescent="0.2">
      <c r="A112" s="8">
        <v>43757</v>
      </c>
      <c r="B112">
        <v>63</v>
      </c>
      <c r="C112">
        <v>69</v>
      </c>
      <c r="D112">
        <v>82</v>
      </c>
      <c r="E112">
        <v>66</v>
      </c>
      <c r="F112">
        <v>73</v>
      </c>
      <c r="G112">
        <v>71</v>
      </c>
      <c r="H112">
        <v>71</v>
      </c>
      <c r="I112">
        <v>75</v>
      </c>
      <c r="J112">
        <v>68</v>
      </c>
      <c r="K112">
        <v>83</v>
      </c>
      <c r="L112">
        <v>76</v>
      </c>
      <c r="M112">
        <v>76</v>
      </c>
      <c r="N112">
        <v>65</v>
      </c>
      <c r="O112">
        <v>61</v>
      </c>
      <c r="P112">
        <v>82</v>
      </c>
      <c r="Q112">
        <v>67</v>
      </c>
      <c r="R112">
        <v>73</v>
      </c>
      <c r="S112">
        <v>63</v>
      </c>
      <c r="T112">
        <v>73</v>
      </c>
      <c r="U112">
        <v>64</v>
      </c>
    </row>
    <row r="113" spans="1:21" x14ac:dyDescent="0.2">
      <c r="A113" s="8">
        <v>43758</v>
      </c>
      <c r="B113">
        <v>68</v>
      </c>
      <c r="C113">
        <v>70</v>
      </c>
      <c r="D113">
        <v>75</v>
      </c>
      <c r="E113">
        <v>60</v>
      </c>
      <c r="F113">
        <v>73</v>
      </c>
      <c r="G113">
        <v>75</v>
      </c>
      <c r="H113">
        <v>73</v>
      </c>
      <c r="I113">
        <v>78</v>
      </c>
      <c r="J113">
        <v>71</v>
      </c>
      <c r="K113">
        <v>83</v>
      </c>
      <c r="L113">
        <v>69</v>
      </c>
      <c r="M113">
        <v>75</v>
      </c>
      <c r="N113">
        <v>66</v>
      </c>
      <c r="O113">
        <v>68</v>
      </c>
      <c r="P113">
        <v>77</v>
      </c>
      <c r="Q113">
        <v>59</v>
      </c>
      <c r="R113">
        <v>71</v>
      </c>
      <c r="S113">
        <v>70</v>
      </c>
      <c r="T113">
        <v>73</v>
      </c>
      <c r="U113">
        <v>71</v>
      </c>
    </row>
    <row r="114" spans="1:21" x14ac:dyDescent="0.2">
      <c r="A114" s="8">
        <v>43759</v>
      </c>
      <c r="B114">
        <v>79</v>
      </c>
      <c r="C114">
        <v>70</v>
      </c>
      <c r="D114">
        <v>73</v>
      </c>
      <c r="E114">
        <v>64</v>
      </c>
      <c r="F114">
        <v>75</v>
      </c>
      <c r="G114">
        <v>79</v>
      </c>
      <c r="H114">
        <v>71</v>
      </c>
      <c r="I114">
        <v>84</v>
      </c>
      <c r="J114">
        <v>73</v>
      </c>
      <c r="K114">
        <v>80</v>
      </c>
      <c r="L114">
        <v>69</v>
      </c>
      <c r="M114">
        <v>78</v>
      </c>
      <c r="N114">
        <v>72</v>
      </c>
      <c r="O114">
        <v>71</v>
      </c>
      <c r="P114">
        <v>80</v>
      </c>
      <c r="Q114">
        <v>63</v>
      </c>
      <c r="R114">
        <v>76</v>
      </c>
      <c r="S114">
        <v>72</v>
      </c>
      <c r="T114">
        <v>77</v>
      </c>
      <c r="U114">
        <v>76</v>
      </c>
    </row>
    <row r="115" spans="1:21" x14ac:dyDescent="0.2">
      <c r="A115" s="8">
        <v>43760</v>
      </c>
      <c r="B115">
        <v>81</v>
      </c>
      <c r="C115">
        <v>62</v>
      </c>
      <c r="D115">
        <v>63</v>
      </c>
      <c r="E115">
        <v>73</v>
      </c>
      <c r="F115">
        <v>79</v>
      </c>
      <c r="G115">
        <v>80</v>
      </c>
      <c r="H115">
        <v>64</v>
      </c>
      <c r="I115">
        <v>78</v>
      </c>
      <c r="J115">
        <v>73</v>
      </c>
      <c r="K115">
        <v>67</v>
      </c>
      <c r="L115">
        <v>70</v>
      </c>
      <c r="M115">
        <v>72</v>
      </c>
      <c r="N115">
        <v>68</v>
      </c>
      <c r="O115">
        <v>74</v>
      </c>
      <c r="P115">
        <v>78</v>
      </c>
      <c r="Q115">
        <v>68</v>
      </c>
      <c r="R115">
        <v>79</v>
      </c>
      <c r="S115">
        <v>69</v>
      </c>
      <c r="T115">
        <v>70</v>
      </c>
      <c r="U115">
        <v>79</v>
      </c>
    </row>
    <row r="116" spans="1:21" x14ac:dyDescent="0.2">
      <c r="A116" s="8">
        <v>43761</v>
      </c>
      <c r="B116">
        <v>69</v>
      </c>
      <c r="C116">
        <v>63</v>
      </c>
      <c r="D116">
        <v>63</v>
      </c>
      <c r="E116">
        <v>57</v>
      </c>
      <c r="F116">
        <v>75</v>
      </c>
      <c r="G116">
        <v>81</v>
      </c>
      <c r="H116">
        <v>59</v>
      </c>
      <c r="I116">
        <v>78</v>
      </c>
      <c r="J116">
        <v>70</v>
      </c>
      <c r="K116">
        <v>70</v>
      </c>
      <c r="L116">
        <v>53</v>
      </c>
      <c r="M116">
        <v>81</v>
      </c>
      <c r="N116">
        <v>62</v>
      </c>
      <c r="O116">
        <v>72</v>
      </c>
      <c r="P116">
        <v>76</v>
      </c>
      <c r="Q116">
        <v>70</v>
      </c>
      <c r="R116">
        <v>78</v>
      </c>
      <c r="S116">
        <v>63</v>
      </c>
      <c r="T116">
        <v>72</v>
      </c>
      <c r="U116">
        <v>81</v>
      </c>
    </row>
    <row r="117" spans="1:21" x14ac:dyDescent="0.2">
      <c r="A117" s="8">
        <v>43762</v>
      </c>
      <c r="B117">
        <v>73</v>
      </c>
      <c r="C117">
        <v>62</v>
      </c>
      <c r="D117">
        <v>72</v>
      </c>
      <c r="E117">
        <v>59</v>
      </c>
      <c r="F117">
        <v>75</v>
      </c>
      <c r="G117">
        <v>79</v>
      </c>
      <c r="H117">
        <v>68</v>
      </c>
      <c r="I117">
        <v>73</v>
      </c>
      <c r="J117">
        <v>73</v>
      </c>
      <c r="K117">
        <v>56</v>
      </c>
      <c r="L117">
        <v>56</v>
      </c>
      <c r="M117">
        <v>59</v>
      </c>
      <c r="N117">
        <v>54</v>
      </c>
      <c r="O117">
        <v>69</v>
      </c>
      <c r="P117">
        <v>81</v>
      </c>
      <c r="Q117">
        <v>73</v>
      </c>
      <c r="R117">
        <v>79</v>
      </c>
      <c r="S117">
        <v>66</v>
      </c>
      <c r="T117">
        <v>74</v>
      </c>
      <c r="U117">
        <v>76</v>
      </c>
    </row>
    <row r="118" spans="1:21" x14ac:dyDescent="0.2">
      <c r="A118" s="8">
        <v>43763</v>
      </c>
      <c r="B118">
        <v>73</v>
      </c>
      <c r="C118">
        <v>75</v>
      </c>
      <c r="D118">
        <v>75</v>
      </c>
      <c r="E118">
        <v>64</v>
      </c>
      <c r="F118">
        <v>78</v>
      </c>
      <c r="G118">
        <v>73</v>
      </c>
      <c r="H118">
        <v>60</v>
      </c>
      <c r="I118">
        <v>73</v>
      </c>
      <c r="J118">
        <v>78</v>
      </c>
      <c r="K118">
        <v>54</v>
      </c>
      <c r="L118">
        <v>55</v>
      </c>
      <c r="M118">
        <v>61</v>
      </c>
      <c r="N118">
        <v>67</v>
      </c>
      <c r="O118">
        <v>65</v>
      </c>
      <c r="P118">
        <v>76</v>
      </c>
      <c r="Q118">
        <v>76</v>
      </c>
      <c r="R118">
        <v>80</v>
      </c>
      <c r="S118">
        <v>56</v>
      </c>
      <c r="T118">
        <v>77</v>
      </c>
      <c r="U118">
        <v>71</v>
      </c>
    </row>
    <row r="119" spans="1:21" x14ac:dyDescent="0.2">
      <c r="A119" s="8">
        <v>43764</v>
      </c>
      <c r="B119">
        <v>75</v>
      </c>
      <c r="C119">
        <v>71</v>
      </c>
      <c r="D119">
        <v>79</v>
      </c>
      <c r="E119">
        <v>69</v>
      </c>
      <c r="F119">
        <v>75</v>
      </c>
      <c r="G119">
        <v>64</v>
      </c>
      <c r="H119">
        <v>68</v>
      </c>
      <c r="I119">
        <v>68</v>
      </c>
      <c r="J119">
        <v>79</v>
      </c>
      <c r="K119">
        <v>61</v>
      </c>
      <c r="L119">
        <v>62</v>
      </c>
      <c r="M119">
        <v>68</v>
      </c>
      <c r="N119">
        <v>70</v>
      </c>
      <c r="O119">
        <v>65</v>
      </c>
      <c r="P119">
        <v>85</v>
      </c>
      <c r="Q119">
        <v>77</v>
      </c>
      <c r="R119">
        <v>80</v>
      </c>
      <c r="S119">
        <v>61</v>
      </c>
      <c r="T119">
        <v>84</v>
      </c>
      <c r="U119">
        <v>67</v>
      </c>
    </row>
    <row r="120" spans="1:21" x14ac:dyDescent="0.2">
      <c r="A120" s="8">
        <v>43765</v>
      </c>
      <c r="B120">
        <v>75</v>
      </c>
      <c r="C120">
        <v>57</v>
      </c>
      <c r="D120">
        <v>79</v>
      </c>
      <c r="E120">
        <v>75</v>
      </c>
      <c r="F120">
        <v>78</v>
      </c>
      <c r="G120">
        <v>51</v>
      </c>
      <c r="H120">
        <v>69</v>
      </c>
      <c r="I120">
        <v>64</v>
      </c>
      <c r="J120">
        <v>81</v>
      </c>
      <c r="K120">
        <v>63</v>
      </c>
      <c r="L120">
        <v>66</v>
      </c>
      <c r="M120">
        <v>67</v>
      </c>
      <c r="N120">
        <v>59</v>
      </c>
      <c r="O120">
        <v>60</v>
      </c>
      <c r="P120">
        <v>76</v>
      </c>
      <c r="Q120">
        <v>79</v>
      </c>
      <c r="R120">
        <v>70</v>
      </c>
      <c r="S120">
        <v>69</v>
      </c>
      <c r="T120">
        <v>84</v>
      </c>
      <c r="U120">
        <v>56</v>
      </c>
    </row>
    <row r="121" spans="1:21" x14ac:dyDescent="0.2">
      <c r="A121" s="8">
        <v>43766</v>
      </c>
      <c r="B121">
        <v>81</v>
      </c>
      <c r="C121">
        <v>55</v>
      </c>
      <c r="D121">
        <v>79</v>
      </c>
      <c r="E121">
        <v>73</v>
      </c>
      <c r="F121">
        <v>80</v>
      </c>
      <c r="G121">
        <v>55</v>
      </c>
      <c r="H121">
        <v>75</v>
      </c>
      <c r="I121">
        <v>57</v>
      </c>
      <c r="J121">
        <v>78</v>
      </c>
      <c r="K121">
        <v>62</v>
      </c>
      <c r="L121">
        <v>63</v>
      </c>
      <c r="M121">
        <v>70</v>
      </c>
      <c r="N121">
        <v>50</v>
      </c>
      <c r="O121">
        <v>71</v>
      </c>
      <c r="P121">
        <v>74</v>
      </c>
      <c r="Q121">
        <v>74</v>
      </c>
      <c r="R121">
        <v>56</v>
      </c>
      <c r="S121">
        <v>64</v>
      </c>
      <c r="T121">
        <v>77</v>
      </c>
      <c r="U121">
        <v>78</v>
      </c>
    </row>
    <row r="122" spans="1:21" x14ac:dyDescent="0.2">
      <c r="A122" s="8">
        <v>43767</v>
      </c>
      <c r="B122">
        <v>82</v>
      </c>
      <c r="C122">
        <v>64</v>
      </c>
      <c r="D122">
        <v>78</v>
      </c>
      <c r="E122">
        <v>72</v>
      </c>
      <c r="F122">
        <v>75</v>
      </c>
      <c r="G122">
        <v>63</v>
      </c>
      <c r="H122">
        <v>75</v>
      </c>
      <c r="I122">
        <v>70</v>
      </c>
      <c r="J122">
        <v>75</v>
      </c>
      <c r="K122">
        <v>64</v>
      </c>
      <c r="L122">
        <v>72</v>
      </c>
      <c r="M122">
        <v>62</v>
      </c>
      <c r="N122">
        <v>59</v>
      </c>
      <c r="O122">
        <v>75</v>
      </c>
      <c r="P122">
        <v>68</v>
      </c>
      <c r="Q122">
        <v>59</v>
      </c>
      <c r="R122">
        <v>56</v>
      </c>
      <c r="S122">
        <v>75</v>
      </c>
      <c r="T122">
        <v>73</v>
      </c>
      <c r="U122">
        <v>70</v>
      </c>
    </row>
    <row r="123" spans="1:21" x14ac:dyDescent="0.2">
      <c r="A123" s="8">
        <v>43768</v>
      </c>
      <c r="B123">
        <v>82</v>
      </c>
      <c r="C123">
        <v>66</v>
      </c>
      <c r="D123">
        <v>82</v>
      </c>
      <c r="E123">
        <v>75</v>
      </c>
      <c r="F123">
        <v>77</v>
      </c>
      <c r="G123">
        <v>72</v>
      </c>
      <c r="H123">
        <v>68</v>
      </c>
      <c r="I123">
        <v>77</v>
      </c>
      <c r="J123">
        <v>78</v>
      </c>
      <c r="K123">
        <v>69</v>
      </c>
      <c r="L123">
        <v>73</v>
      </c>
      <c r="M123">
        <v>67</v>
      </c>
      <c r="N123">
        <v>65</v>
      </c>
      <c r="O123">
        <v>66</v>
      </c>
      <c r="P123">
        <v>71</v>
      </c>
      <c r="Q123">
        <v>61</v>
      </c>
      <c r="R123">
        <v>56</v>
      </c>
      <c r="S123">
        <v>78</v>
      </c>
      <c r="T123">
        <v>68</v>
      </c>
      <c r="U123">
        <v>70</v>
      </c>
    </row>
    <row r="124" spans="1:21" x14ac:dyDescent="0.2">
      <c r="A124" s="8">
        <v>43769</v>
      </c>
      <c r="B124">
        <v>81</v>
      </c>
      <c r="C124">
        <v>60</v>
      </c>
      <c r="D124">
        <v>79</v>
      </c>
      <c r="E124">
        <v>75</v>
      </c>
      <c r="F124">
        <v>78</v>
      </c>
      <c r="G124">
        <v>71</v>
      </c>
      <c r="H124">
        <v>60</v>
      </c>
      <c r="I124">
        <v>75</v>
      </c>
      <c r="J124">
        <v>82</v>
      </c>
      <c r="K124">
        <v>70</v>
      </c>
      <c r="L124">
        <v>68</v>
      </c>
      <c r="M124">
        <v>71</v>
      </c>
      <c r="N124">
        <v>67</v>
      </c>
      <c r="O124">
        <v>69</v>
      </c>
      <c r="P124">
        <v>75</v>
      </c>
      <c r="Q124">
        <v>65</v>
      </c>
      <c r="R124">
        <v>65</v>
      </c>
      <c r="S124">
        <v>74</v>
      </c>
      <c r="T124">
        <v>63</v>
      </c>
      <c r="U124">
        <v>62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F429"/>
  <sheetViews>
    <sheetView topLeftCell="A65" zoomScale="125" zoomScaleNormal="125" workbookViewId="0">
      <selection activeCell="D85" sqref="D85"/>
    </sheetView>
  </sheetViews>
  <sheetFormatPr baseColWidth="10" defaultRowHeight="16" x14ac:dyDescent="0.2"/>
  <cols>
    <col min="1" max="1" width="3.5" customWidth="1"/>
    <col min="2" max="2" width="17.5" customWidth="1"/>
  </cols>
  <sheetData>
    <row r="1" spans="2:6" x14ac:dyDescent="0.2">
      <c r="B1" s="3" t="s">
        <v>3</v>
      </c>
      <c r="E1" s="3" t="s">
        <v>2</v>
      </c>
    </row>
    <row r="2" spans="2:6" x14ac:dyDescent="0.2">
      <c r="B2" t="s">
        <v>7</v>
      </c>
      <c r="C2" s="2">
        <f>MIN($C$10:$C$71)</f>
        <v>85.8</v>
      </c>
      <c r="E2" t="s">
        <v>6</v>
      </c>
      <c r="F2" s="5">
        <v>0.5</v>
      </c>
    </row>
    <row r="3" spans="2:6" x14ac:dyDescent="0.2">
      <c r="B3" t="s">
        <v>8</v>
      </c>
      <c r="C3" s="2">
        <f>MAX($C$10:$C$71)</f>
        <v>91.15</v>
      </c>
      <c r="E3" t="s">
        <v>13</v>
      </c>
      <c r="F3" s="2">
        <f>C4/F2</f>
        <v>2.1002688000011016</v>
      </c>
    </row>
    <row r="4" spans="2:6" x14ac:dyDescent="0.2">
      <c r="B4" t="s">
        <v>11</v>
      </c>
      <c r="C4" s="2">
        <f>STDEV($C$10:$C$71)</f>
        <v>1.0501344000005508</v>
      </c>
      <c r="E4" t="s">
        <v>12</v>
      </c>
      <c r="F4" s="5">
        <v>20</v>
      </c>
    </row>
    <row r="5" spans="2:6" x14ac:dyDescent="0.2">
      <c r="B5" t="s">
        <v>1</v>
      </c>
      <c r="C5" s="2">
        <f>AVERAGE($C$10:$C$71)</f>
        <v>88.683064516129051</v>
      </c>
      <c r="E5" t="s">
        <v>14</v>
      </c>
      <c r="F5" s="2">
        <f>C4*F4</f>
        <v>21.002688000011016</v>
      </c>
    </row>
    <row r="9" spans="2:6" x14ac:dyDescent="0.2">
      <c r="B9" s="4" t="s">
        <v>0</v>
      </c>
      <c r="C9" s="4" t="s">
        <v>5</v>
      </c>
      <c r="D9" s="4" t="s">
        <v>4</v>
      </c>
      <c r="E9" s="4" t="s">
        <v>10</v>
      </c>
    </row>
    <row r="10" spans="2:6" x14ac:dyDescent="0.2">
      <c r="B10" s="1">
        <f>'DATA 1996-2015'!A2</f>
        <v>43647</v>
      </c>
      <c r="C10" s="2">
        <f>AVERAGE('DATA 1996-2015'!B2:U2)</f>
        <v>88.85</v>
      </c>
      <c r="D10" s="6">
        <v>0</v>
      </c>
      <c r="E10" s="7" t="s">
        <v>9</v>
      </c>
    </row>
    <row r="11" spans="2:6" x14ac:dyDescent="0.2">
      <c r="B11" s="1">
        <f>'DATA 1996-2015'!A3</f>
        <v>43648</v>
      </c>
      <c r="C11" s="2">
        <f>AVERAGE('DATA 1996-2015'!B3:U3)</f>
        <v>88.35</v>
      </c>
      <c r="D11" s="2">
        <f>MAX(0,D10+($C$5-C11-$F$3))</f>
        <v>0</v>
      </c>
      <c r="E11" s="7" t="str">
        <f t="shared" ref="E11:E74" si="0">IF(AND(D11&gt;$F$5,E10="N"),"Y", "N")</f>
        <v>N</v>
      </c>
    </row>
    <row r="12" spans="2:6" x14ac:dyDescent="0.2">
      <c r="B12" s="1">
        <f>'DATA 1996-2015'!A4</f>
        <v>43649</v>
      </c>
      <c r="C12" s="2">
        <f>AVERAGE('DATA 1996-2015'!B4:U4)</f>
        <v>88.4</v>
      </c>
      <c r="D12" s="2">
        <f>MAX(0,D11+($C$5-C12-$F$3))</f>
        <v>0</v>
      </c>
      <c r="E12" s="7" t="str">
        <f t="shared" si="0"/>
        <v>N</v>
      </c>
    </row>
    <row r="13" spans="2:6" x14ac:dyDescent="0.2">
      <c r="B13" s="1">
        <f>'DATA 1996-2015'!A5</f>
        <v>43650</v>
      </c>
      <c r="C13" s="2">
        <f>AVERAGE('DATA 1996-2015'!B5:U5)</f>
        <v>88.35</v>
      </c>
      <c r="D13" s="2">
        <f t="shared" ref="D13:D42" si="1">MAX(0,D12+($C$5-C13-$F$3))</f>
        <v>0</v>
      </c>
      <c r="E13" s="7" t="str">
        <f t="shared" si="0"/>
        <v>N</v>
      </c>
    </row>
    <row r="14" spans="2:6" x14ac:dyDescent="0.2">
      <c r="B14" s="1">
        <f>'DATA 1996-2015'!A6</f>
        <v>43651</v>
      </c>
      <c r="C14" s="2">
        <f>AVERAGE('DATA 1996-2015'!B6:U6)</f>
        <v>88.25</v>
      </c>
      <c r="D14" s="2">
        <f t="shared" si="1"/>
        <v>0</v>
      </c>
      <c r="E14" s="7" t="str">
        <f t="shared" si="0"/>
        <v>N</v>
      </c>
    </row>
    <row r="15" spans="2:6" x14ac:dyDescent="0.2">
      <c r="B15" s="1">
        <f>'DATA 1996-2015'!A7</f>
        <v>43652</v>
      </c>
      <c r="C15" s="2">
        <f>AVERAGE('DATA 1996-2015'!B7:U7)</f>
        <v>87.85</v>
      </c>
      <c r="D15" s="2">
        <f t="shared" si="1"/>
        <v>0</v>
      </c>
      <c r="E15" s="7" t="str">
        <f t="shared" si="0"/>
        <v>N</v>
      </c>
    </row>
    <row r="16" spans="2:6" x14ac:dyDescent="0.2">
      <c r="B16" s="1">
        <f>'DATA 1996-2015'!A8</f>
        <v>43653</v>
      </c>
      <c r="C16" s="2">
        <f>AVERAGE('DATA 1996-2015'!B8:U8)</f>
        <v>87.1</v>
      </c>
      <c r="D16" s="2">
        <f t="shared" si="1"/>
        <v>0</v>
      </c>
      <c r="E16" s="7" t="str">
        <f t="shared" si="0"/>
        <v>N</v>
      </c>
    </row>
    <row r="17" spans="2:5" x14ac:dyDescent="0.2">
      <c r="B17" s="1">
        <f>'DATA 1996-2015'!A9</f>
        <v>43654</v>
      </c>
      <c r="C17" s="2">
        <f>AVERAGE('DATA 1996-2015'!B9:U9)</f>
        <v>89.15</v>
      </c>
      <c r="D17" s="2">
        <f t="shared" si="1"/>
        <v>0</v>
      </c>
      <c r="E17" s="7" t="str">
        <f t="shared" si="0"/>
        <v>N</v>
      </c>
    </row>
    <row r="18" spans="2:5" x14ac:dyDescent="0.2">
      <c r="B18" s="1">
        <f>'DATA 1996-2015'!A10</f>
        <v>43655</v>
      </c>
      <c r="C18" s="2">
        <f>AVERAGE('DATA 1996-2015'!B10:U10)</f>
        <v>90.05</v>
      </c>
      <c r="D18" s="2">
        <f t="shared" si="1"/>
        <v>0</v>
      </c>
      <c r="E18" s="7" t="str">
        <f t="shared" si="0"/>
        <v>N</v>
      </c>
    </row>
    <row r="19" spans="2:5" x14ac:dyDescent="0.2">
      <c r="B19" s="1">
        <f>'DATA 1996-2015'!A11</f>
        <v>43656</v>
      </c>
      <c r="C19" s="2">
        <f>AVERAGE('DATA 1996-2015'!B11:U11)</f>
        <v>88.55</v>
      </c>
      <c r="D19" s="2">
        <f t="shared" si="1"/>
        <v>0</v>
      </c>
      <c r="E19" s="7" t="str">
        <f t="shared" si="0"/>
        <v>N</v>
      </c>
    </row>
    <row r="20" spans="2:5" x14ac:dyDescent="0.2">
      <c r="B20" s="1">
        <f>'DATA 1996-2015'!A12</f>
        <v>43657</v>
      </c>
      <c r="C20" s="2">
        <f>AVERAGE('DATA 1996-2015'!B12:U12)</f>
        <v>87.95</v>
      </c>
      <c r="D20" s="2">
        <f t="shared" si="1"/>
        <v>0</v>
      </c>
      <c r="E20" s="7" t="str">
        <f t="shared" si="0"/>
        <v>N</v>
      </c>
    </row>
    <row r="21" spans="2:5" x14ac:dyDescent="0.2">
      <c r="B21" s="1">
        <f>'DATA 1996-2015'!A13</f>
        <v>43658</v>
      </c>
      <c r="C21" s="2">
        <f>AVERAGE('DATA 1996-2015'!B13:U13)</f>
        <v>88.15</v>
      </c>
      <c r="D21" s="2">
        <f t="shared" si="1"/>
        <v>0</v>
      </c>
      <c r="E21" s="7" t="str">
        <f t="shared" si="0"/>
        <v>N</v>
      </c>
    </row>
    <row r="22" spans="2:5" x14ac:dyDescent="0.2">
      <c r="B22" s="1">
        <f>'DATA 1996-2015'!A14</f>
        <v>43659</v>
      </c>
      <c r="C22" s="2">
        <f>AVERAGE('DATA 1996-2015'!B14:U14)</f>
        <v>87.2</v>
      </c>
      <c r="D22" s="2">
        <f t="shared" si="1"/>
        <v>0</v>
      </c>
      <c r="E22" s="7" t="str">
        <f t="shared" si="0"/>
        <v>N</v>
      </c>
    </row>
    <row r="23" spans="2:5" x14ac:dyDescent="0.2">
      <c r="B23" s="1">
        <f>'DATA 1996-2015'!A15</f>
        <v>43660</v>
      </c>
      <c r="C23" s="2">
        <f>AVERAGE('DATA 1996-2015'!B15:U15)</f>
        <v>88.2</v>
      </c>
      <c r="D23" s="2">
        <f t="shared" si="1"/>
        <v>0</v>
      </c>
      <c r="E23" s="7" t="str">
        <f t="shared" si="0"/>
        <v>N</v>
      </c>
    </row>
    <row r="24" spans="2:5" x14ac:dyDescent="0.2">
      <c r="B24" s="1">
        <f>'DATA 1996-2015'!A16</f>
        <v>43661</v>
      </c>
      <c r="C24" s="2">
        <f>AVERAGE('DATA 1996-2015'!B16:U16)</f>
        <v>87</v>
      </c>
      <c r="D24" s="2">
        <f t="shared" si="1"/>
        <v>0</v>
      </c>
      <c r="E24" s="7" t="str">
        <f t="shared" si="0"/>
        <v>N</v>
      </c>
    </row>
    <row r="25" spans="2:5" x14ac:dyDescent="0.2">
      <c r="B25" s="1">
        <f>'DATA 1996-2015'!A17</f>
        <v>43662</v>
      </c>
      <c r="C25" s="2">
        <f>AVERAGE('DATA 1996-2015'!B17:U17)</f>
        <v>88.1</v>
      </c>
      <c r="D25" s="2">
        <f t="shared" si="1"/>
        <v>0</v>
      </c>
      <c r="E25" s="7" t="str">
        <f t="shared" si="0"/>
        <v>N</v>
      </c>
    </row>
    <row r="26" spans="2:5" x14ac:dyDescent="0.2">
      <c r="B26" s="1">
        <f>'DATA 1996-2015'!A18</f>
        <v>43663</v>
      </c>
      <c r="C26" s="2">
        <f>AVERAGE('DATA 1996-2015'!B18:U18)</f>
        <v>89.2</v>
      </c>
      <c r="D26" s="2">
        <f t="shared" si="1"/>
        <v>0</v>
      </c>
      <c r="E26" s="7" t="str">
        <f t="shared" si="0"/>
        <v>N</v>
      </c>
    </row>
    <row r="27" spans="2:5" x14ac:dyDescent="0.2">
      <c r="B27" s="1">
        <f>'DATA 1996-2015'!A19</f>
        <v>43664</v>
      </c>
      <c r="C27" s="2">
        <f>AVERAGE('DATA 1996-2015'!B19:U19)</f>
        <v>89.25</v>
      </c>
      <c r="D27" s="2">
        <f t="shared" si="1"/>
        <v>0</v>
      </c>
      <c r="E27" s="7" t="str">
        <f t="shared" si="0"/>
        <v>N</v>
      </c>
    </row>
    <row r="28" spans="2:5" x14ac:dyDescent="0.2">
      <c r="B28" s="1">
        <f>'DATA 1996-2015'!A20</f>
        <v>43665</v>
      </c>
      <c r="C28" s="2">
        <f>AVERAGE('DATA 1996-2015'!B20:U20)</f>
        <v>90.4</v>
      </c>
      <c r="D28" s="2">
        <f t="shared" si="1"/>
        <v>0</v>
      </c>
      <c r="E28" s="7" t="str">
        <f t="shared" si="0"/>
        <v>N</v>
      </c>
    </row>
    <row r="29" spans="2:5" x14ac:dyDescent="0.2">
      <c r="B29" s="1">
        <f>'DATA 1996-2015'!A21</f>
        <v>43666</v>
      </c>
      <c r="C29" s="2">
        <f>AVERAGE('DATA 1996-2015'!B21:U21)</f>
        <v>89.4</v>
      </c>
      <c r="D29" s="2">
        <f t="shared" si="1"/>
        <v>0</v>
      </c>
      <c r="E29" s="7" t="str">
        <f t="shared" si="0"/>
        <v>N</v>
      </c>
    </row>
    <row r="30" spans="2:5" x14ac:dyDescent="0.2">
      <c r="B30" s="1">
        <f>'DATA 1996-2015'!A22</f>
        <v>43667</v>
      </c>
      <c r="C30" s="2">
        <f>AVERAGE('DATA 1996-2015'!B22:U22)</f>
        <v>89.95</v>
      </c>
      <c r="D30" s="2">
        <f t="shared" si="1"/>
        <v>0</v>
      </c>
      <c r="E30" s="7" t="str">
        <f t="shared" si="0"/>
        <v>N</v>
      </c>
    </row>
    <row r="31" spans="2:5" x14ac:dyDescent="0.2">
      <c r="B31" s="1">
        <f>'DATA 1996-2015'!A23</f>
        <v>43668</v>
      </c>
      <c r="C31" s="2">
        <f>AVERAGE('DATA 1996-2015'!B23:U23)</f>
        <v>89.45</v>
      </c>
      <c r="D31" s="2">
        <f t="shared" si="1"/>
        <v>0</v>
      </c>
      <c r="E31" s="7" t="str">
        <f t="shared" si="0"/>
        <v>N</v>
      </c>
    </row>
    <row r="32" spans="2:5" x14ac:dyDescent="0.2">
      <c r="B32" s="1">
        <f>'DATA 1996-2015'!A24</f>
        <v>43669</v>
      </c>
      <c r="C32" s="2">
        <f>AVERAGE('DATA 1996-2015'!B24:U24)</f>
        <v>89.05</v>
      </c>
      <c r="D32" s="2">
        <f t="shared" si="1"/>
        <v>0</v>
      </c>
      <c r="E32" s="7" t="str">
        <f t="shared" si="0"/>
        <v>N</v>
      </c>
    </row>
    <row r="33" spans="2:5" x14ac:dyDescent="0.2">
      <c r="B33" s="1">
        <f>'DATA 1996-2015'!A25</f>
        <v>43670</v>
      </c>
      <c r="C33" s="2">
        <f>AVERAGE('DATA 1996-2015'!B25:U25)</f>
        <v>89.1</v>
      </c>
      <c r="D33" s="2">
        <f t="shared" si="1"/>
        <v>0</v>
      </c>
      <c r="E33" s="7" t="str">
        <f t="shared" si="0"/>
        <v>N</v>
      </c>
    </row>
    <row r="34" spans="2:5" x14ac:dyDescent="0.2">
      <c r="B34" s="1">
        <f>'DATA 1996-2015'!A26</f>
        <v>43671</v>
      </c>
      <c r="C34" s="2">
        <f>AVERAGE('DATA 1996-2015'!B26:U26)</f>
        <v>88</v>
      </c>
      <c r="D34" s="2">
        <f t="shared" si="1"/>
        <v>0</v>
      </c>
      <c r="E34" s="7" t="str">
        <f t="shared" si="0"/>
        <v>N</v>
      </c>
    </row>
    <row r="35" spans="2:5" x14ac:dyDescent="0.2">
      <c r="B35" s="1">
        <f>'DATA 1996-2015'!A27</f>
        <v>43672</v>
      </c>
      <c r="C35" s="2">
        <f>AVERAGE('DATA 1996-2015'!B27:U27)</f>
        <v>89.5</v>
      </c>
      <c r="D35" s="2">
        <f t="shared" si="1"/>
        <v>0</v>
      </c>
      <c r="E35" s="7" t="str">
        <f t="shared" si="0"/>
        <v>N</v>
      </c>
    </row>
    <row r="36" spans="2:5" x14ac:dyDescent="0.2">
      <c r="B36" s="1">
        <f>'DATA 1996-2015'!A28</f>
        <v>43673</v>
      </c>
      <c r="C36" s="2">
        <f>AVERAGE('DATA 1996-2015'!B28:U28)</f>
        <v>89.55</v>
      </c>
      <c r="D36" s="2">
        <f t="shared" si="1"/>
        <v>0</v>
      </c>
      <c r="E36" s="7" t="str">
        <f t="shared" si="0"/>
        <v>N</v>
      </c>
    </row>
    <row r="37" spans="2:5" x14ac:dyDescent="0.2">
      <c r="B37" s="1">
        <f>'DATA 1996-2015'!A29</f>
        <v>43674</v>
      </c>
      <c r="C37" s="2">
        <f>AVERAGE('DATA 1996-2015'!B29:U29)</f>
        <v>89.95</v>
      </c>
      <c r="D37" s="2">
        <f t="shared" si="1"/>
        <v>0</v>
      </c>
      <c r="E37" s="7" t="str">
        <f t="shared" si="0"/>
        <v>N</v>
      </c>
    </row>
    <row r="38" spans="2:5" x14ac:dyDescent="0.2">
      <c r="B38" s="1">
        <f>'DATA 1996-2015'!A30</f>
        <v>43675</v>
      </c>
      <c r="C38" s="2">
        <f>AVERAGE('DATA 1996-2015'!B30:U30)</f>
        <v>89.25</v>
      </c>
      <c r="D38" s="2">
        <f t="shared" si="1"/>
        <v>0</v>
      </c>
      <c r="E38" s="7" t="str">
        <f t="shared" si="0"/>
        <v>N</v>
      </c>
    </row>
    <row r="39" spans="2:5" x14ac:dyDescent="0.2">
      <c r="B39" s="1">
        <f>'DATA 1996-2015'!A31</f>
        <v>43676</v>
      </c>
      <c r="C39" s="2">
        <f>AVERAGE('DATA 1996-2015'!B31:U31)</f>
        <v>89.55</v>
      </c>
      <c r="D39" s="2">
        <f t="shared" si="1"/>
        <v>0</v>
      </c>
      <c r="E39" s="7" t="str">
        <f t="shared" si="0"/>
        <v>N</v>
      </c>
    </row>
    <row r="40" spans="2:5" x14ac:dyDescent="0.2">
      <c r="B40" s="1">
        <f>'DATA 1996-2015'!A32</f>
        <v>43677</v>
      </c>
      <c r="C40" s="2">
        <f>AVERAGE('DATA 1996-2015'!B32:U32)</f>
        <v>88.15</v>
      </c>
      <c r="D40" s="2">
        <f t="shared" si="1"/>
        <v>0</v>
      </c>
      <c r="E40" s="7" t="str">
        <f t="shared" si="0"/>
        <v>N</v>
      </c>
    </row>
    <row r="41" spans="2:5" x14ac:dyDescent="0.2">
      <c r="B41" s="1">
        <f>'DATA 1996-2015'!A33</f>
        <v>43678</v>
      </c>
      <c r="C41" s="2">
        <f>AVERAGE('DATA 1996-2015'!B33:U33)</f>
        <v>88.55</v>
      </c>
      <c r="D41" s="2">
        <f t="shared" si="1"/>
        <v>0</v>
      </c>
      <c r="E41" s="7" t="str">
        <f t="shared" si="0"/>
        <v>N</v>
      </c>
    </row>
    <row r="42" spans="2:5" x14ac:dyDescent="0.2">
      <c r="B42" s="1">
        <f>'DATA 1996-2015'!A34</f>
        <v>43679</v>
      </c>
      <c r="C42" s="2">
        <f>AVERAGE('DATA 1996-2015'!B34:U34)</f>
        <v>88.65</v>
      </c>
      <c r="D42" s="2">
        <f t="shared" si="1"/>
        <v>0</v>
      </c>
      <c r="E42" s="7" t="str">
        <f t="shared" si="0"/>
        <v>N</v>
      </c>
    </row>
    <row r="43" spans="2:5" x14ac:dyDescent="0.2">
      <c r="B43" s="1">
        <f>'DATA 1996-2015'!A35</f>
        <v>43680</v>
      </c>
      <c r="C43" s="2">
        <f>AVERAGE('DATA 1996-2015'!B35:U35)</f>
        <v>89.55</v>
      </c>
      <c r="D43" s="2">
        <f t="shared" ref="D43:D73" si="2">MAX(0,D42+($C$5-C43-$F$3))</f>
        <v>0</v>
      </c>
      <c r="E43" s="7" t="str">
        <f t="shared" si="0"/>
        <v>N</v>
      </c>
    </row>
    <row r="44" spans="2:5" x14ac:dyDescent="0.2">
      <c r="B44" s="1">
        <f>'DATA 1996-2015'!A36</f>
        <v>43681</v>
      </c>
      <c r="C44" s="2">
        <f>AVERAGE('DATA 1996-2015'!B36:U36)</f>
        <v>90.3</v>
      </c>
      <c r="D44" s="2">
        <f t="shared" si="2"/>
        <v>0</v>
      </c>
      <c r="E44" s="7" t="str">
        <f t="shared" si="0"/>
        <v>N</v>
      </c>
    </row>
    <row r="45" spans="2:5" x14ac:dyDescent="0.2">
      <c r="B45" s="1">
        <f>'DATA 1996-2015'!A37</f>
        <v>43682</v>
      </c>
      <c r="C45" s="2">
        <f>AVERAGE('DATA 1996-2015'!B37:U37)</f>
        <v>91.15</v>
      </c>
      <c r="D45" s="2">
        <f t="shared" si="2"/>
        <v>0</v>
      </c>
      <c r="E45" s="7" t="str">
        <f t="shared" si="0"/>
        <v>N</v>
      </c>
    </row>
    <row r="46" spans="2:5" x14ac:dyDescent="0.2">
      <c r="B46" s="1">
        <f>'DATA 1996-2015'!A38</f>
        <v>43683</v>
      </c>
      <c r="C46" s="2">
        <f>AVERAGE('DATA 1996-2015'!B38:U38)</f>
        <v>89.4</v>
      </c>
      <c r="D46" s="2">
        <f t="shared" si="2"/>
        <v>0</v>
      </c>
      <c r="E46" s="7" t="str">
        <f t="shared" si="0"/>
        <v>N</v>
      </c>
    </row>
    <row r="47" spans="2:5" x14ac:dyDescent="0.2">
      <c r="B47" s="1">
        <f>'DATA 1996-2015'!A39</f>
        <v>43684</v>
      </c>
      <c r="C47" s="2">
        <f>AVERAGE('DATA 1996-2015'!B39:U39)</f>
        <v>88.95</v>
      </c>
      <c r="D47" s="2">
        <f t="shared" si="2"/>
        <v>0</v>
      </c>
      <c r="E47" s="7" t="str">
        <f t="shared" si="0"/>
        <v>N</v>
      </c>
    </row>
    <row r="48" spans="2:5" x14ac:dyDescent="0.2">
      <c r="B48" s="1">
        <f>'DATA 1996-2015'!A40</f>
        <v>43685</v>
      </c>
      <c r="C48" s="2">
        <f>AVERAGE('DATA 1996-2015'!B40:U40)</f>
        <v>88.75</v>
      </c>
      <c r="D48" s="2">
        <f t="shared" si="2"/>
        <v>0</v>
      </c>
      <c r="E48" s="7" t="str">
        <f t="shared" si="0"/>
        <v>N</v>
      </c>
    </row>
    <row r="49" spans="2:5" x14ac:dyDescent="0.2">
      <c r="B49" s="1">
        <f>'DATA 1996-2015'!A41</f>
        <v>43686</v>
      </c>
      <c r="C49" s="2">
        <f>AVERAGE('DATA 1996-2015'!B41:U41)</f>
        <v>89</v>
      </c>
      <c r="D49" s="2">
        <f t="shared" si="2"/>
        <v>0</v>
      </c>
      <c r="E49" s="7" t="str">
        <f t="shared" si="0"/>
        <v>N</v>
      </c>
    </row>
    <row r="50" spans="2:5" x14ac:dyDescent="0.2">
      <c r="B50" s="1">
        <f>'DATA 1996-2015'!A42</f>
        <v>43687</v>
      </c>
      <c r="C50" s="2">
        <f>AVERAGE('DATA 1996-2015'!B42:U42)</f>
        <v>89.25</v>
      </c>
      <c r="D50" s="2">
        <f t="shared" si="2"/>
        <v>0</v>
      </c>
      <c r="E50" s="7" t="str">
        <f t="shared" si="0"/>
        <v>N</v>
      </c>
    </row>
    <row r="51" spans="2:5" x14ac:dyDescent="0.2">
      <c r="B51" s="1">
        <f>'DATA 1996-2015'!A43</f>
        <v>43688</v>
      </c>
      <c r="C51" s="2">
        <f>AVERAGE('DATA 1996-2015'!B43:U43)</f>
        <v>89.2</v>
      </c>
      <c r="D51" s="2">
        <f t="shared" si="2"/>
        <v>0</v>
      </c>
      <c r="E51" s="7" t="str">
        <f t="shared" si="0"/>
        <v>N</v>
      </c>
    </row>
    <row r="52" spans="2:5" x14ac:dyDescent="0.2">
      <c r="B52" s="1">
        <f>'DATA 1996-2015'!A44</f>
        <v>43689</v>
      </c>
      <c r="C52" s="2">
        <f>AVERAGE('DATA 1996-2015'!B44:U44)</f>
        <v>87.9</v>
      </c>
      <c r="D52" s="2">
        <f t="shared" si="2"/>
        <v>0</v>
      </c>
      <c r="E52" s="7" t="str">
        <f t="shared" si="0"/>
        <v>N</v>
      </c>
    </row>
    <row r="53" spans="2:5" x14ac:dyDescent="0.2">
      <c r="B53" s="1">
        <f>'DATA 1996-2015'!A45</f>
        <v>43690</v>
      </c>
      <c r="C53" s="2">
        <f>AVERAGE('DATA 1996-2015'!B45:U45)</f>
        <v>88.1</v>
      </c>
      <c r="D53" s="2">
        <f t="shared" si="2"/>
        <v>0</v>
      </c>
      <c r="E53" s="7" t="str">
        <f t="shared" si="0"/>
        <v>N</v>
      </c>
    </row>
    <row r="54" spans="2:5" x14ac:dyDescent="0.2">
      <c r="B54" s="1">
        <f>'DATA 1996-2015'!A46</f>
        <v>43691</v>
      </c>
      <c r="C54" s="2">
        <f>AVERAGE('DATA 1996-2015'!B46:U46)</f>
        <v>88.3</v>
      </c>
      <c r="D54" s="2">
        <f t="shared" si="2"/>
        <v>0</v>
      </c>
      <c r="E54" s="7" t="str">
        <f t="shared" si="0"/>
        <v>N</v>
      </c>
    </row>
    <row r="55" spans="2:5" x14ac:dyDescent="0.2">
      <c r="B55" s="1">
        <f>'DATA 1996-2015'!A47</f>
        <v>43692</v>
      </c>
      <c r="C55" s="2">
        <f>AVERAGE('DATA 1996-2015'!B47:U47)</f>
        <v>88</v>
      </c>
      <c r="D55" s="2">
        <f t="shared" si="2"/>
        <v>0</v>
      </c>
      <c r="E55" s="7" t="str">
        <f t="shared" si="0"/>
        <v>N</v>
      </c>
    </row>
    <row r="56" spans="2:5" x14ac:dyDescent="0.2">
      <c r="B56" s="1">
        <f>'DATA 1996-2015'!A48</f>
        <v>43693</v>
      </c>
      <c r="C56" s="2">
        <f>AVERAGE('DATA 1996-2015'!B48:U48)</f>
        <v>88.8</v>
      </c>
      <c r="D56" s="2">
        <f t="shared" si="2"/>
        <v>0</v>
      </c>
      <c r="E56" s="7" t="str">
        <f t="shared" si="0"/>
        <v>N</v>
      </c>
    </row>
    <row r="57" spans="2:5" x14ac:dyDescent="0.2">
      <c r="B57" s="1">
        <f>'DATA 1996-2015'!A49</f>
        <v>43694</v>
      </c>
      <c r="C57" s="2">
        <f>AVERAGE('DATA 1996-2015'!B49:U49)</f>
        <v>89.05</v>
      </c>
      <c r="D57" s="2">
        <f t="shared" si="2"/>
        <v>0</v>
      </c>
      <c r="E57" s="7" t="str">
        <f t="shared" si="0"/>
        <v>N</v>
      </c>
    </row>
    <row r="58" spans="2:5" x14ac:dyDescent="0.2">
      <c r="B58" s="1">
        <f>'DATA 1996-2015'!A50</f>
        <v>43695</v>
      </c>
      <c r="C58" s="2">
        <f>AVERAGE('DATA 1996-2015'!B50:U50)</f>
        <v>90.15</v>
      </c>
      <c r="D58" s="2">
        <f t="shared" si="2"/>
        <v>0</v>
      </c>
      <c r="E58" s="7" t="str">
        <f t="shared" si="0"/>
        <v>N</v>
      </c>
    </row>
    <row r="59" spans="2:5" x14ac:dyDescent="0.2">
      <c r="B59" s="1">
        <f>'DATA 1996-2015'!A51</f>
        <v>43696</v>
      </c>
      <c r="C59" s="2">
        <f>AVERAGE('DATA 1996-2015'!B51:U51)</f>
        <v>90.3</v>
      </c>
      <c r="D59" s="2">
        <f t="shared" si="2"/>
        <v>0</v>
      </c>
      <c r="E59" s="7" t="str">
        <f t="shared" si="0"/>
        <v>N</v>
      </c>
    </row>
    <row r="60" spans="2:5" x14ac:dyDescent="0.2">
      <c r="B60" s="1">
        <f>'DATA 1996-2015'!A52</f>
        <v>43697</v>
      </c>
      <c r="C60" s="2">
        <f>AVERAGE('DATA 1996-2015'!B52:U52)</f>
        <v>89.3</v>
      </c>
      <c r="D60" s="2">
        <f t="shared" si="2"/>
        <v>0</v>
      </c>
      <c r="E60" s="7" t="str">
        <f t="shared" si="0"/>
        <v>N</v>
      </c>
    </row>
    <row r="61" spans="2:5" x14ac:dyDescent="0.2">
      <c r="B61" s="1">
        <f>'DATA 1996-2015'!A53</f>
        <v>43698</v>
      </c>
      <c r="C61" s="2">
        <f>AVERAGE('DATA 1996-2015'!B53:U53)</f>
        <v>89.1</v>
      </c>
      <c r="D61" s="2">
        <f t="shared" si="2"/>
        <v>0</v>
      </c>
      <c r="E61" s="7" t="str">
        <f t="shared" si="0"/>
        <v>N</v>
      </c>
    </row>
    <row r="62" spans="2:5" x14ac:dyDescent="0.2">
      <c r="B62" s="1">
        <f>'DATA 1996-2015'!A54</f>
        <v>43699</v>
      </c>
      <c r="C62" s="2">
        <f>AVERAGE('DATA 1996-2015'!B54:U54)</f>
        <v>89.4</v>
      </c>
      <c r="D62" s="2">
        <f t="shared" si="2"/>
        <v>0</v>
      </c>
      <c r="E62" s="7" t="str">
        <f t="shared" si="0"/>
        <v>N</v>
      </c>
    </row>
    <row r="63" spans="2:5" x14ac:dyDescent="0.2">
      <c r="B63" s="1">
        <f>'DATA 1996-2015'!A55</f>
        <v>43700</v>
      </c>
      <c r="C63" s="2">
        <f>AVERAGE('DATA 1996-2015'!B55:U55)</f>
        <v>88.4</v>
      </c>
      <c r="D63" s="2">
        <f t="shared" si="2"/>
        <v>0</v>
      </c>
      <c r="E63" s="7" t="str">
        <f t="shared" si="0"/>
        <v>N</v>
      </c>
    </row>
    <row r="64" spans="2:5" x14ac:dyDescent="0.2">
      <c r="B64" s="1">
        <f>'DATA 1996-2015'!A56</f>
        <v>43701</v>
      </c>
      <c r="C64" s="2">
        <f>AVERAGE('DATA 1996-2015'!B56:U56)</f>
        <v>87.85</v>
      </c>
      <c r="D64" s="2">
        <f t="shared" si="2"/>
        <v>0</v>
      </c>
      <c r="E64" s="7" t="str">
        <f t="shared" si="0"/>
        <v>N</v>
      </c>
    </row>
    <row r="65" spans="2:5" x14ac:dyDescent="0.2">
      <c r="B65" s="1">
        <f>'DATA 1996-2015'!A57</f>
        <v>43702</v>
      </c>
      <c r="C65" s="2">
        <f>AVERAGE('DATA 1996-2015'!B57:U57)</f>
        <v>86.5</v>
      </c>
      <c r="D65" s="2">
        <f t="shared" si="2"/>
        <v>8.2795716127948893E-2</v>
      </c>
      <c r="E65" s="7" t="str">
        <f t="shared" si="0"/>
        <v>N</v>
      </c>
    </row>
    <row r="66" spans="2:5" x14ac:dyDescent="0.2">
      <c r="B66" s="1">
        <f>'DATA 1996-2015'!A58</f>
        <v>43703</v>
      </c>
      <c r="C66" s="2">
        <f>AVERAGE('DATA 1996-2015'!B58:U58)</f>
        <v>88.45</v>
      </c>
      <c r="D66" s="2">
        <f t="shared" si="2"/>
        <v>0</v>
      </c>
      <c r="E66" s="7" t="str">
        <f t="shared" si="0"/>
        <v>N</v>
      </c>
    </row>
    <row r="67" spans="2:5" x14ac:dyDescent="0.2">
      <c r="B67" s="1">
        <f>'DATA 1996-2015'!A59</f>
        <v>43704</v>
      </c>
      <c r="C67" s="2">
        <f>AVERAGE('DATA 1996-2015'!B59:U59)</f>
        <v>87.6</v>
      </c>
      <c r="D67" s="2">
        <f t="shared" si="2"/>
        <v>0</v>
      </c>
      <c r="E67" s="7" t="str">
        <f t="shared" si="0"/>
        <v>N</v>
      </c>
    </row>
    <row r="68" spans="2:5" x14ac:dyDescent="0.2">
      <c r="B68" s="1">
        <f>'DATA 1996-2015'!A60</f>
        <v>43705</v>
      </c>
      <c r="C68" s="2">
        <f>AVERAGE('DATA 1996-2015'!B60:U60)</f>
        <v>87.15</v>
      </c>
      <c r="D68" s="2">
        <f t="shared" si="2"/>
        <v>0</v>
      </c>
      <c r="E68" s="7" t="str">
        <f t="shared" si="0"/>
        <v>N</v>
      </c>
    </row>
    <row r="69" spans="2:5" x14ac:dyDescent="0.2">
      <c r="B69" s="1">
        <f>'DATA 1996-2015'!A61</f>
        <v>43706</v>
      </c>
      <c r="C69" s="2">
        <f>AVERAGE('DATA 1996-2015'!B61:U61)</f>
        <v>88.3</v>
      </c>
      <c r="D69" s="2">
        <f t="shared" si="2"/>
        <v>0</v>
      </c>
      <c r="E69" s="7" t="str">
        <f t="shared" si="0"/>
        <v>N</v>
      </c>
    </row>
    <row r="70" spans="2:5" x14ac:dyDescent="0.2">
      <c r="B70" s="1">
        <f>'DATA 1996-2015'!A62</f>
        <v>43707</v>
      </c>
      <c r="C70" s="2">
        <f>AVERAGE('DATA 1996-2015'!B62:U62)</f>
        <v>85.8</v>
      </c>
      <c r="D70" s="2">
        <f t="shared" si="2"/>
        <v>0.78279571612795174</v>
      </c>
      <c r="E70" s="7" t="str">
        <f t="shared" si="0"/>
        <v>N</v>
      </c>
    </row>
    <row r="71" spans="2:5" x14ac:dyDescent="0.2">
      <c r="B71" s="1">
        <f>'DATA 1996-2015'!A63</f>
        <v>43708</v>
      </c>
      <c r="C71" s="2">
        <f>AVERAGE('DATA 1996-2015'!B63:U63)</f>
        <v>85.9</v>
      </c>
      <c r="D71" s="2">
        <f t="shared" si="2"/>
        <v>1.4655914322558949</v>
      </c>
      <c r="E71" s="7" t="str">
        <f t="shared" si="0"/>
        <v>N</v>
      </c>
    </row>
    <row r="72" spans="2:5" x14ac:dyDescent="0.2">
      <c r="B72" s="1">
        <f>'DATA 1996-2015'!A64</f>
        <v>43709</v>
      </c>
      <c r="C72" s="2">
        <f>AVERAGE('DATA 1996-2015'!B64:U64)</f>
        <v>85.25</v>
      </c>
      <c r="D72" s="2">
        <f t="shared" si="2"/>
        <v>2.7983871483838438</v>
      </c>
      <c r="E72" s="7" t="str">
        <f t="shared" si="0"/>
        <v>N</v>
      </c>
    </row>
    <row r="73" spans="2:5" x14ac:dyDescent="0.2">
      <c r="B73" s="1">
        <f>'DATA 1996-2015'!A65</f>
        <v>43710</v>
      </c>
      <c r="C73" s="2">
        <f>AVERAGE('DATA 1996-2015'!B65:U65)</f>
        <v>85.25</v>
      </c>
      <c r="D73" s="2">
        <f t="shared" si="2"/>
        <v>4.1311828645117927</v>
      </c>
      <c r="E73" s="7" t="str">
        <f t="shared" si="0"/>
        <v>N</v>
      </c>
    </row>
    <row r="74" spans="2:5" x14ac:dyDescent="0.2">
      <c r="B74" s="1">
        <f>'DATA 1996-2015'!A66</f>
        <v>43711</v>
      </c>
      <c r="C74" s="2">
        <f>AVERAGE('DATA 1996-2015'!B66:U66)</f>
        <v>85.9</v>
      </c>
      <c r="D74" s="2">
        <f>MAX(0,D73+($C$5-C74-$F$3))</f>
        <v>4.8139785806397359</v>
      </c>
      <c r="E74" s="7" t="str">
        <f t="shared" si="0"/>
        <v>N</v>
      </c>
    </row>
    <row r="75" spans="2:5" x14ac:dyDescent="0.2">
      <c r="B75" s="1">
        <f>'DATA 1996-2015'!A67</f>
        <v>43712</v>
      </c>
      <c r="C75" s="2">
        <f>AVERAGE('DATA 1996-2015'!B67:U67)</f>
        <v>85.8</v>
      </c>
      <c r="D75" s="2">
        <f t="shared" ref="D75:D106" si="3">MAX(0,D74+($C$5-C75-$F$3))</f>
        <v>5.5967742967676877</v>
      </c>
      <c r="E75" s="7" t="str">
        <f t="shared" ref="E75:E84" si="4">IF(AND(D75&gt;$F$5,E74="N"),"Y", "N")</f>
        <v>N</v>
      </c>
    </row>
    <row r="76" spans="2:5" x14ac:dyDescent="0.2">
      <c r="B76" s="1">
        <f>'DATA 1996-2015'!A68</f>
        <v>43713</v>
      </c>
      <c r="C76" s="2">
        <f>AVERAGE('DATA 1996-2015'!B68:U68)</f>
        <v>86.2</v>
      </c>
      <c r="D76" s="2">
        <f t="shared" si="3"/>
        <v>5.9795700128956337</v>
      </c>
      <c r="E76" s="7" t="str">
        <f t="shared" si="4"/>
        <v>N</v>
      </c>
    </row>
    <row r="77" spans="2:5" x14ac:dyDescent="0.2">
      <c r="B77" s="1">
        <f>'DATA 1996-2015'!A69</f>
        <v>43714</v>
      </c>
      <c r="C77" s="2">
        <f>AVERAGE('DATA 1996-2015'!B69:U69)</f>
        <v>84.6</v>
      </c>
      <c r="D77" s="2">
        <f t="shared" si="3"/>
        <v>7.9623657290235883</v>
      </c>
      <c r="E77" s="7" t="str">
        <f t="shared" si="4"/>
        <v>N</v>
      </c>
    </row>
    <row r="78" spans="2:5" x14ac:dyDescent="0.2">
      <c r="B78" s="1">
        <f>'DATA 1996-2015'!A70</f>
        <v>43715</v>
      </c>
      <c r="C78" s="2">
        <f>AVERAGE('DATA 1996-2015'!B70:U70)</f>
        <v>84.75</v>
      </c>
      <c r="D78" s="2">
        <f t="shared" si="3"/>
        <v>9.7951614451515372</v>
      </c>
      <c r="E78" s="7" t="str">
        <f t="shared" si="4"/>
        <v>N</v>
      </c>
    </row>
    <row r="79" spans="2:5" x14ac:dyDescent="0.2">
      <c r="B79" s="1">
        <f>'DATA 1996-2015'!A71</f>
        <v>43716</v>
      </c>
      <c r="C79" s="2">
        <f>AVERAGE('DATA 1996-2015'!B71:U71)</f>
        <v>85.25</v>
      </c>
      <c r="D79" s="2">
        <f t="shared" si="3"/>
        <v>11.127957161279486</v>
      </c>
      <c r="E79" s="7" t="str">
        <f t="shared" si="4"/>
        <v>N</v>
      </c>
    </row>
    <row r="80" spans="2:5" x14ac:dyDescent="0.2">
      <c r="B80" s="1">
        <f>'DATA 1996-2015'!A72</f>
        <v>43717</v>
      </c>
      <c r="C80" s="2">
        <f>AVERAGE('DATA 1996-2015'!B72:U72)</f>
        <v>85.05</v>
      </c>
      <c r="D80" s="2">
        <f t="shared" si="3"/>
        <v>12.660752877407438</v>
      </c>
      <c r="E80" s="7" t="str">
        <f t="shared" si="4"/>
        <v>N</v>
      </c>
    </row>
    <row r="81" spans="2:5" x14ac:dyDescent="0.2">
      <c r="B81" s="1">
        <f>'DATA 1996-2015'!A73</f>
        <v>43718</v>
      </c>
      <c r="C81" s="2">
        <f>AVERAGE('DATA 1996-2015'!B73:U73)</f>
        <v>85.25</v>
      </c>
      <c r="D81" s="2">
        <f t="shared" si="3"/>
        <v>13.993548593535387</v>
      </c>
      <c r="E81" s="7" t="str">
        <f t="shared" si="4"/>
        <v>N</v>
      </c>
    </row>
    <row r="82" spans="2:5" x14ac:dyDescent="0.2">
      <c r="B82" s="1">
        <f>'DATA 1996-2015'!A74</f>
        <v>43719</v>
      </c>
      <c r="C82" s="2">
        <f>AVERAGE('DATA 1996-2015'!B74:U74)</f>
        <v>85.55</v>
      </c>
      <c r="D82" s="2">
        <f t="shared" si="3"/>
        <v>15.026344309663338</v>
      </c>
      <c r="E82" s="7" t="str">
        <f t="shared" si="4"/>
        <v>N</v>
      </c>
    </row>
    <row r="83" spans="2:5" x14ac:dyDescent="0.2">
      <c r="B83" s="1">
        <f>'DATA 1996-2015'!A75</f>
        <v>43720</v>
      </c>
      <c r="C83" s="2">
        <f>AVERAGE('DATA 1996-2015'!B75:U75)</f>
        <v>85.3</v>
      </c>
      <c r="D83" s="2">
        <f t="shared" si="3"/>
        <v>16.30914002579129</v>
      </c>
      <c r="E83" s="7" t="str">
        <f t="shared" si="4"/>
        <v>N</v>
      </c>
    </row>
    <row r="84" spans="2:5" x14ac:dyDescent="0.2">
      <c r="B84" s="1">
        <f>'DATA 1996-2015'!A76</f>
        <v>43721</v>
      </c>
      <c r="C84" s="2">
        <f>AVERAGE('DATA 1996-2015'!B76:U76)</f>
        <v>83.1</v>
      </c>
      <c r="D84" s="2">
        <f t="shared" si="3"/>
        <v>19.791935741919247</v>
      </c>
      <c r="E84" s="7" t="str">
        <f t="shared" si="4"/>
        <v>N</v>
      </c>
    </row>
    <row r="85" spans="2:5" x14ac:dyDescent="0.2">
      <c r="B85" s="1">
        <f>'DATA 1996-2015'!A77</f>
        <v>43722</v>
      </c>
      <c r="C85" s="2">
        <f>AVERAGE('DATA 1996-2015'!B77:U77)</f>
        <v>83.65</v>
      </c>
      <c r="D85" s="2">
        <f t="shared" si="3"/>
        <v>22.724731458047188</v>
      </c>
      <c r="E85" s="7" t="str">
        <f>IF(AND(D85&gt;$F$5,E84="N"),"Y", "N")</f>
        <v>Y</v>
      </c>
    </row>
    <row r="86" spans="2:5" x14ac:dyDescent="0.2">
      <c r="B86" s="1">
        <f>'DATA 1996-2015'!A78</f>
        <v>43723</v>
      </c>
      <c r="C86" s="2">
        <f>AVERAGE('DATA 1996-2015'!B78:U78)</f>
        <v>83.7</v>
      </c>
      <c r="D86" s="2">
        <f t="shared" si="3"/>
        <v>25.607527174175132</v>
      </c>
      <c r="E86" s="7" t="str">
        <f t="shared" ref="E86:E132" si="5">IF(AND(D86&gt;$F$5,E85="N"),"Y", "N")</f>
        <v>N</v>
      </c>
    </row>
    <row r="87" spans="2:5" x14ac:dyDescent="0.2">
      <c r="B87" s="1">
        <f>'DATA 1996-2015'!A79</f>
        <v>43724</v>
      </c>
      <c r="C87" s="2">
        <f>AVERAGE('DATA 1996-2015'!B79:U79)</f>
        <v>82.25</v>
      </c>
      <c r="D87" s="2">
        <f t="shared" si="3"/>
        <v>29.940322890303079</v>
      </c>
      <c r="E87" s="7" t="str">
        <f t="shared" si="5"/>
        <v>Y</v>
      </c>
    </row>
    <row r="88" spans="2:5" x14ac:dyDescent="0.2">
      <c r="B88" s="1">
        <f>'DATA 1996-2015'!A80</f>
        <v>43725</v>
      </c>
      <c r="C88" s="2">
        <f>AVERAGE('DATA 1996-2015'!B80:U80)</f>
        <v>81.849999999999994</v>
      </c>
      <c r="D88" s="2">
        <f t="shared" si="3"/>
        <v>34.673118606431032</v>
      </c>
      <c r="E88" s="7" t="str">
        <f t="shared" si="5"/>
        <v>N</v>
      </c>
    </row>
    <row r="89" spans="2:5" x14ac:dyDescent="0.2">
      <c r="B89" s="1">
        <f>'DATA 1996-2015'!A81</f>
        <v>43726</v>
      </c>
      <c r="C89" s="2">
        <f>AVERAGE('DATA 1996-2015'!B81:U81)</f>
        <v>81.7</v>
      </c>
      <c r="D89" s="2">
        <f t="shared" si="3"/>
        <v>39.555914322558976</v>
      </c>
      <c r="E89" s="7" t="str">
        <f t="shared" si="5"/>
        <v>Y</v>
      </c>
    </row>
    <row r="90" spans="2:5" x14ac:dyDescent="0.2">
      <c r="B90" s="1">
        <f>'DATA 1996-2015'!A82</f>
        <v>43727</v>
      </c>
      <c r="C90" s="2">
        <f>AVERAGE('DATA 1996-2015'!B82:U82)</f>
        <v>82.4</v>
      </c>
      <c r="D90" s="2">
        <f t="shared" si="3"/>
        <v>43.738710038686918</v>
      </c>
      <c r="E90" s="7" t="str">
        <f t="shared" si="5"/>
        <v>N</v>
      </c>
    </row>
    <row r="91" spans="2:5" x14ac:dyDescent="0.2">
      <c r="B91" s="1">
        <f>'DATA 1996-2015'!A83</f>
        <v>43728</v>
      </c>
      <c r="C91" s="2">
        <f>AVERAGE('DATA 1996-2015'!B83:U83)</f>
        <v>83</v>
      </c>
      <c r="D91" s="2">
        <f t="shared" si="3"/>
        <v>47.321505754814865</v>
      </c>
      <c r="E91" s="7" t="str">
        <f t="shared" si="5"/>
        <v>Y</v>
      </c>
    </row>
    <row r="92" spans="2:5" x14ac:dyDescent="0.2">
      <c r="B92" s="1">
        <f>'DATA 1996-2015'!A84</f>
        <v>43729</v>
      </c>
      <c r="C92" s="2">
        <f>AVERAGE('DATA 1996-2015'!B84:U84)</f>
        <v>81.599999999999994</v>
      </c>
      <c r="D92" s="2">
        <f t="shared" si="3"/>
        <v>52.304301470942818</v>
      </c>
      <c r="E92" s="7" t="str">
        <f t="shared" si="5"/>
        <v>N</v>
      </c>
    </row>
    <row r="93" spans="2:5" x14ac:dyDescent="0.2">
      <c r="B93" s="1">
        <f>'DATA 1996-2015'!A85</f>
        <v>43730</v>
      </c>
      <c r="C93" s="2">
        <f>AVERAGE('DATA 1996-2015'!B85:U85)</f>
        <v>81.2</v>
      </c>
      <c r="D93" s="2">
        <f t="shared" si="3"/>
        <v>57.687097187070762</v>
      </c>
      <c r="E93" s="7" t="str">
        <f t="shared" si="5"/>
        <v>Y</v>
      </c>
    </row>
    <row r="94" spans="2:5" x14ac:dyDescent="0.2">
      <c r="B94" s="1">
        <f>'DATA 1996-2015'!A86</f>
        <v>43731</v>
      </c>
      <c r="C94" s="2">
        <f>AVERAGE('DATA 1996-2015'!B86:U86)</f>
        <v>82.75</v>
      </c>
      <c r="D94" s="2">
        <f t="shared" si="3"/>
        <v>61.519892903198709</v>
      </c>
      <c r="E94" s="7" t="str">
        <f t="shared" si="5"/>
        <v>N</v>
      </c>
    </row>
    <row r="95" spans="2:5" x14ac:dyDescent="0.2">
      <c r="B95" s="1">
        <f>'DATA 1996-2015'!A87</f>
        <v>43732</v>
      </c>
      <c r="C95" s="2">
        <f>AVERAGE('DATA 1996-2015'!B87:U87)</f>
        <v>80.400000000000006</v>
      </c>
      <c r="D95" s="2">
        <f t="shared" si="3"/>
        <v>67.702688619326651</v>
      </c>
      <c r="E95" s="7" t="str">
        <f t="shared" si="5"/>
        <v>Y</v>
      </c>
    </row>
    <row r="96" spans="2:5" x14ac:dyDescent="0.2">
      <c r="B96" s="1">
        <f>'DATA 1996-2015'!A88</f>
        <v>43733</v>
      </c>
      <c r="C96" s="2">
        <f>AVERAGE('DATA 1996-2015'!B88:U88)</f>
        <v>79.3</v>
      </c>
      <c r="D96" s="2">
        <f t="shared" si="3"/>
        <v>74.985484335454601</v>
      </c>
      <c r="E96" s="7" t="str">
        <f t="shared" si="5"/>
        <v>N</v>
      </c>
    </row>
    <row r="97" spans="2:5" x14ac:dyDescent="0.2">
      <c r="B97" s="1">
        <f>'DATA 1996-2015'!A89</f>
        <v>43734</v>
      </c>
      <c r="C97" s="2">
        <f>AVERAGE('DATA 1996-2015'!B89:U89)</f>
        <v>78.55</v>
      </c>
      <c r="D97" s="2">
        <f t="shared" si="3"/>
        <v>83.018280051582551</v>
      </c>
      <c r="E97" s="7" t="str">
        <f t="shared" si="5"/>
        <v>Y</v>
      </c>
    </row>
    <row r="98" spans="2:5" x14ac:dyDescent="0.2">
      <c r="B98" s="1">
        <f>'DATA 1996-2015'!A90</f>
        <v>43735</v>
      </c>
      <c r="C98" s="2">
        <f>AVERAGE('DATA 1996-2015'!B90:U90)</f>
        <v>78.55</v>
      </c>
      <c r="D98" s="2">
        <f t="shared" si="3"/>
        <v>91.0510757677105</v>
      </c>
      <c r="E98" s="7" t="str">
        <f t="shared" si="5"/>
        <v>N</v>
      </c>
    </row>
    <row r="99" spans="2:5" x14ac:dyDescent="0.2">
      <c r="B99" s="1">
        <f>'DATA 1996-2015'!A91</f>
        <v>43736</v>
      </c>
      <c r="C99" s="2">
        <f>AVERAGE('DATA 1996-2015'!B91:U91)</f>
        <v>78.650000000000006</v>
      </c>
      <c r="D99" s="2">
        <f t="shared" si="3"/>
        <v>98.983871483838442</v>
      </c>
      <c r="E99" s="7" t="str">
        <f t="shared" si="5"/>
        <v>Y</v>
      </c>
    </row>
    <row r="100" spans="2:5" x14ac:dyDescent="0.2">
      <c r="B100" s="1">
        <f>'DATA 1996-2015'!A92</f>
        <v>43737</v>
      </c>
      <c r="C100" s="2">
        <f>AVERAGE('DATA 1996-2015'!B92:U92)</f>
        <v>76.349999999999994</v>
      </c>
      <c r="D100" s="2">
        <f t="shared" si="3"/>
        <v>109.21666719996639</v>
      </c>
      <c r="E100" s="7" t="str">
        <f t="shared" si="5"/>
        <v>N</v>
      </c>
    </row>
    <row r="101" spans="2:5" x14ac:dyDescent="0.2">
      <c r="B101" s="1">
        <f>'DATA 1996-2015'!A93</f>
        <v>43738</v>
      </c>
      <c r="C101" s="2">
        <f>AVERAGE('DATA 1996-2015'!B93:U93)</f>
        <v>77</v>
      </c>
      <c r="D101" s="2">
        <f t="shared" si="3"/>
        <v>118.79946291609434</v>
      </c>
      <c r="E101" s="7" t="str">
        <f t="shared" si="5"/>
        <v>Y</v>
      </c>
    </row>
    <row r="102" spans="2:5" x14ac:dyDescent="0.2">
      <c r="B102" s="1">
        <f>'DATA 1996-2015'!A94</f>
        <v>43739</v>
      </c>
      <c r="C102" s="2">
        <f>AVERAGE('DATA 1996-2015'!B94:U94)</f>
        <v>77.099999999999994</v>
      </c>
      <c r="D102" s="2">
        <f t="shared" si="3"/>
        <v>128.28225863222229</v>
      </c>
      <c r="E102" s="7" t="str">
        <f t="shared" si="5"/>
        <v>N</v>
      </c>
    </row>
    <row r="103" spans="2:5" x14ac:dyDescent="0.2">
      <c r="B103" s="1">
        <f>'DATA 1996-2015'!A95</f>
        <v>43740</v>
      </c>
      <c r="C103" s="2">
        <f>AVERAGE('DATA 1996-2015'!B95:U95)</f>
        <v>76.95</v>
      </c>
      <c r="D103" s="2">
        <f t="shared" si="3"/>
        <v>137.91505434835025</v>
      </c>
      <c r="E103" s="7" t="str">
        <f t="shared" si="5"/>
        <v>Y</v>
      </c>
    </row>
    <row r="104" spans="2:5" x14ac:dyDescent="0.2">
      <c r="B104" s="1">
        <f>'DATA 1996-2015'!A96</f>
        <v>43741</v>
      </c>
      <c r="C104" s="2">
        <f>AVERAGE('DATA 1996-2015'!B96:U96)</f>
        <v>77.7</v>
      </c>
      <c r="D104" s="2">
        <f t="shared" si="3"/>
        <v>146.79785006447821</v>
      </c>
      <c r="E104" s="7" t="str">
        <f t="shared" si="5"/>
        <v>N</v>
      </c>
    </row>
    <row r="105" spans="2:5" x14ac:dyDescent="0.2">
      <c r="B105" s="1">
        <f>'DATA 1996-2015'!A97</f>
        <v>43742</v>
      </c>
      <c r="C105" s="2">
        <f>AVERAGE('DATA 1996-2015'!B97:U97)</f>
        <v>77.849999999999994</v>
      </c>
      <c r="D105" s="2">
        <f t="shared" si="3"/>
        <v>155.53064578060616</v>
      </c>
      <c r="E105" s="7" t="str">
        <f t="shared" si="5"/>
        <v>Y</v>
      </c>
    </row>
    <row r="106" spans="2:5" x14ac:dyDescent="0.2">
      <c r="B106" s="1">
        <f>'DATA 1996-2015'!A98</f>
        <v>43743</v>
      </c>
      <c r="C106" s="2">
        <f>AVERAGE('DATA 1996-2015'!B98:U98)</f>
        <v>78.2</v>
      </c>
      <c r="D106" s="2">
        <f t="shared" si="3"/>
        <v>163.91344149673412</v>
      </c>
      <c r="E106" s="7" t="str">
        <f t="shared" si="5"/>
        <v>N</v>
      </c>
    </row>
    <row r="107" spans="2:5" x14ac:dyDescent="0.2">
      <c r="B107" s="1">
        <f>'DATA 1996-2015'!A99</f>
        <v>43744</v>
      </c>
      <c r="C107" s="2">
        <f>AVERAGE('DATA 1996-2015'!B99:U99)</f>
        <v>76.349999999999994</v>
      </c>
      <c r="D107" s="2">
        <f t="shared" ref="D107:D132" si="6">MAX(0,D106+($C$5-C107-$F$3))</f>
        <v>174.14623721286208</v>
      </c>
      <c r="E107" s="7" t="str">
        <f t="shared" si="5"/>
        <v>Y</v>
      </c>
    </row>
    <row r="108" spans="2:5" x14ac:dyDescent="0.2">
      <c r="B108" s="1">
        <f>'DATA 1996-2015'!A100</f>
        <v>43745</v>
      </c>
      <c r="C108" s="2">
        <f>AVERAGE('DATA 1996-2015'!B100:U100)</f>
        <v>75.599999999999994</v>
      </c>
      <c r="D108" s="2">
        <f t="shared" si="6"/>
        <v>185.12903292899003</v>
      </c>
      <c r="E108" s="7" t="str">
        <f t="shared" si="5"/>
        <v>N</v>
      </c>
    </row>
    <row r="109" spans="2:5" x14ac:dyDescent="0.2">
      <c r="B109" s="1">
        <f>'DATA 1996-2015'!A101</f>
        <v>43746</v>
      </c>
      <c r="C109" s="2">
        <f>AVERAGE('DATA 1996-2015'!B101:U101)</f>
        <v>74.8</v>
      </c>
      <c r="D109" s="2">
        <f t="shared" si="6"/>
        <v>196.91182864511799</v>
      </c>
      <c r="E109" s="7" t="str">
        <f t="shared" si="5"/>
        <v>Y</v>
      </c>
    </row>
    <row r="110" spans="2:5" x14ac:dyDescent="0.2">
      <c r="B110" s="1">
        <f>'DATA 1996-2015'!A102</f>
        <v>43747</v>
      </c>
      <c r="C110" s="2">
        <f>AVERAGE('DATA 1996-2015'!B102:U102)</f>
        <v>74.25</v>
      </c>
      <c r="D110" s="2">
        <f t="shared" si="6"/>
        <v>209.24462436124594</v>
      </c>
      <c r="E110" s="7" t="str">
        <f t="shared" si="5"/>
        <v>N</v>
      </c>
    </row>
    <row r="111" spans="2:5" x14ac:dyDescent="0.2">
      <c r="B111" s="1">
        <f>'DATA 1996-2015'!A103</f>
        <v>43748</v>
      </c>
      <c r="C111" s="2">
        <f>AVERAGE('DATA 1996-2015'!B103:U103)</f>
        <v>75.150000000000006</v>
      </c>
      <c r="D111" s="2">
        <f t="shared" si="6"/>
        <v>220.67742007737388</v>
      </c>
      <c r="E111" s="7" t="str">
        <f t="shared" si="5"/>
        <v>Y</v>
      </c>
    </row>
    <row r="112" spans="2:5" x14ac:dyDescent="0.2">
      <c r="B112" s="1">
        <f>'DATA 1996-2015'!A104</f>
        <v>43749</v>
      </c>
      <c r="C112" s="2">
        <f>AVERAGE('DATA 1996-2015'!B104:U104)</f>
        <v>75.849999999999994</v>
      </c>
      <c r="D112" s="2">
        <f t="shared" si="6"/>
        <v>231.41021579350183</v>
      </c>
      <c r="E112" s="7" t="str">
        <f t="shared" si="5"/>
        <v>N</v>
      </c>
    </row>
    <row r="113" spans="2:5" x14ac:dyDescent="0.2">
      <c r="B113" s="1">
        <f>'DATA 1996-2015'!A105</f>
        <v>43750</v>
      </c>
      <c r="C113" s="2">
        <f>AVERAGE('DATA 1996-2015'!B105:U105)</f>
        <v>75.8</v>
      </c>
      <c r="D113" s="2">
        <f t="shared" si="6"/>
        <v>242.1930115096298</v>
      </c>
      <c r="E113" s="7" t="str">
        <f t="shared" si="5"/>
        <v>Y</v>
      </c>
    </row>
    <row r="114" spans="2:5" x14ac:dyDescent="0.2">
      <c r="B114" s="1">
        <f>'DATA 1996-2015'!A106</f>
        <v>43751</v>
      </c>
      <c r="C114" s="2">
        <f>AVERAGE('DATA 1996-2015'!B106:U106)</f>
        <v>75.45</v>
      </c>
      <c r="D114" s="2">
        <f t="shared" si="6"/>
        <v>253.32580722575776</v>
      </c>
      <c r="E114" s="7" t="str">
        <f t="shared" si="5"/>
        <v>N</v>
      </c>
    </row>
    <row r="115" spans="2:5" x14ac:dyDescent="0.2">
      <c r="B115" s="1">
        <f>'DATA 1996-2015'!A107</f>
        <v>43752</v>
      </c>
      <c r="C115" s="2">
        <f>AVERAGE('DATA 1996-2015'!B107:U107)</f>
        <v>74.2</v>
      </c>
      <c r="D115" s="2">
        <f t="shared" si="6"/>
        <v>265.70860294188572</v>
      </c>
      <c r="E115" s="7" t="str">
        <f t="shared" si="5"/>
        <v>Y</v>
      </c>
    </row>
    <row r="116" spans="2:5" x14ac:dyDescent="0.2">
      <c r="B116" s="1">
        <f>'DATA 1996-2015'!A108</f>
        <v>43753</v>
      </c>
      <c r="C116" s="2">
        <f>AVERAGE('DATA 1996-2015'!B108:U108)</f>
        <v>72.900000000000006</v>
      </c>
      <c r="D116" s="2">
        <f t="shared" si="6"/>
        <v>279.39139865801366</v>
      </c>
      <c r="E116" s="7" t="str">
        <f t="shared" si="5"/>
        <v>N</v>
      </c>
    </row>
    <row r="117" spans="2:5" x14ac:dyDescent="0.2">
      <c r="B117" s="1">
        <f>'DATA 1996-2015'!A109</f>
        <v>43754</v>
      </c>
      <c r="C117" s="2">
        <f>AVERAGE('DATA 1996-2015'!B109:U109)</f>
        <v>72.650000000000006</v>
      </c>
      <c r="D117" s="2">
        <f t="shared" si="6"/>
        <v>293.3241943741416</v>
      </c>
      <c r="E117" s="7" t="str">
        <f t="shared" si="5"/>
        <v>Y</v>
      </c>
    </row>
    <row r="118" spans="2:5" x14ac:dyDescent="0.2">
      <c r="B118" s="1">
        <f>'DATA 1996-2015'!A110</f>
        <v>43755</v>
      </c>
      <c r="C118" s="2">
        <f>AVERAGE('DATA 1996-2015'!B110:U110)</f>
        <v>73.099999999999994</v>
      </c>
      <c r="D118" s="2">
        <f t="shared" si="6"/>
        <v>306.80699009026955</v>
      </c>
      <c r="E118" s="7" t="str">
        <f t="shared" si="5"/>
        <v>N</v>
      </c>
    </row>
    <row r="119" spans="2:5" x14ac:dyDescent="0.2">
      <c r="B119" s="1">
        <f>'DATA 1996-2015'!A111</f>
        <v>43756</v>
      </c>
      <c r="C119" s="2">
        <f>AVERAGE('DATA 1996-2015'!B111:U111)</f>
        <v>71.900000000000006</v>
      </c>
      <c r="D119" s="2">
        <f t="shared" si="6"/>
        <v>321.48978580639749</v>
      </c>
      <c r="E119" s="7" t="str">
        <f t="shared" si="5"/>
        <v>Y</v>
      </c>
    </row>
    <row r="120" spans="2:5" x14ac:dyDescent="0.2">
      <c r="B120" s="1">
        <f>'DATA 1996-2015'!A112</f>
        <v>43757</v>
      </c>
      <c r="C120" s="2">
        <f>AVERAGE('DATA 1996-2015'!B112:U112)</f>
        <v>71.05</v>
      </c>
      <c r="D120" s="2">
        <f t="shared" si="6"/>
        <v>337.02258152252546</v>
      </c>
      <c r="E120" s="7" t="str">
        <f t="shared" si="5"/>
        <v>N</v>
      </c>
    </row>
    <row r="121" spans="2:5" x14ac:dyDescent="0.2">
      <c r="B121" s="1">
        <f>'DATA 1996-2015'!A113</f>
        <v>43758</v>
      </c>
      <c r="C121" s="2">
        <f>AVERAGE('DATA 1996-2015'!B113:U113)</f>
        <v>71.25</v>
      </c>
      <c r="D121" s="2">
        <f t="shared" si="6"/>
        <v>352.35537723865343</v>
      </c>
      <c r="E121" s="7" t="str">
        <f t="shared" si="5"/>
        <v>Y</v>
      </c>
    </row>
    <row r="122" spans="2:5" x14ac:dyDescent="0.2">
      <c r="B122" s="1">
        <f>'DATA 1996-2015'!A114</f>
        <v>43759</v>
      </c>
      <c r="C122" s="2">
        <f>AVERAGE('DATA 1996-2015'!B114:U114)</f>
        <v>74.099999999999994</v>
      </c>
      <c r="D122" s="2">
        <f t="shared" si="6"/>
        <v>364.83817295478138</v>
      </c>
      <c r="E122" s="7" t="str">
        <f t="shared" si="5"/>
        <v>N</v>
      </c>
    </row>
    <row r="123" spans="2:5" x14ac:dyDescent="0.2">
      <c r="B123" s="1">
        <f>'DATA 1996-2015'!A115</f>
        <v>43760</v>
      </c>
      <c r="C123" s="2">
        <f>AVERAGE('DATA 1996-2015'!B115:U115)</f>
        <v>72.349999999999994</v>
      </c>
      <c r="D123" s="2">
        <f t="shared" si="6"/>
        <v>379.07096867090934</v>
      </c>
      <c r="E123" s="7" t="str">
        <f t="shared" si="5"/>
        <v>Y</v>
      </c>
    </row>
    <row r="124" spans="2:5" x14ac:dyDescent="0.2">
      <c r="B124" s="1">
        <f>'DATA 1996-2015'!A116</f>
        <v>43761</v>
      </c>
      <c r="C124" s="2">
        <f>AVERAGE('DATA 1996-2015'!B116:U116)</f>
        <v>69.650000000000006</v>
      </c>
      <c r="D124" s="2">
        <f t="shared" si="6"/>
        <v>396.00376438703728</v>
      </c>
      <c r="E124" s="7" t="str">
        <f t="shared" si="5"/>
        <v>N</v>
      </c>
    </row>
    <row r="125" spans="2:5" x14ac:dyDescent="0.2">
      <c r="B125" s="1">
        <f>'DATA 1996-2015'!A117</f>
        <v>43762</v>
      </c>
      <c r="C125" s="2">
        <f>AVERAGE('DATA 1996-2015'!B117:U117)</f>
        <v>68.849999999999994</v>
      </c>
      <c r="D125" s="2">
        <f t="shared" si="6"/>
        <v>413.73656010316523</v>
      </c>
      <c r="E125" s="7" t="str">
        <f t="shared" si="5"/>
        <v>Y</v>
      </c>
    </row>
    <row r="126" spans="2:5" x14ac:dyDescent="0.2">
      <c r="B126" s="1">
        <f>'DATA 1996-2015'!A118</f>
        <v>43763</v>
      </c>
      <c r="C126" s="2">
        <f>AVERAGE('DATA 1996-2015'!B118:U118)</f>
        <v>69.349999999999994</v>
      </c>
      <c r="D126" s="2">
        <f t="shared" si="6"/>
        <v>430.96935581929318</v>
      </c>
      <c r="E126" s="7" t="str">
        <f t="shared" si="5"/>
        <v>N</v>
      </c>
    </row>
    <row r="127" spans="2:5" x14ac:dyDescent="0.2">
      <c r="B127" s="1">
        <f>'DATA 1996-2015'!A119</f>
        <v>43764</v>
      </c>
      <c r="C127" s="2">
        <f>AVERAGE('DATA 1996-2015'!B119:U119)</f>
        <v>71.400000000000006</v>
      </c>
      <c r="D127" s="2">
        <f t="shared" si="6"/>
        <v>446.15215153542113</v>
      </c>
      <c r="E127" s="7" t="str">
        <f t="shared" si="5"/>
        <v>Y</v>
      </c>
    </row>
    <row r="128" spans="2:5" x14ac:dyDescent="0.2">
      <c r="B128" s="1">
        <f>'DATA 1996-2015'!A120</f>
        <v>43765</v>
      </c>
      <c r="C128" s="2">
        <f>AVERAGE('DATA 1996-2015'!B120:U120)</f>
        <v>68.900000000000006</v>
      </c>
      <c r="D128" s="2">
        <f t="shared" si="6"/>
        <v>463.83494725154907</v>
      </c>
      <c r="E128" s="7" t="str">
        <f t="shared" si="5"/>
        <v>N</v>
      </c>
    </row>
    <row r="129" spans="2:5" x14ac:dyDescent="0.2">
      <c r="B129" s="1">
        <f>'DATA 1996-2015'!A121</f>
        <v>43766</v>
      </c>
      <c r="C129" s="2">
        <f>AVERAGE('DATA 1996-2015'!B121:U121)</f>
        <v>68.599999999999994</v>
      </c>
      <c r="D129" s="2">
        <f t="shared" si="6"/>
        <v>481.81774296767702</v>
      </c>
      <c r="E129" s="7" t="str">
        <f t="shared" si="5"/>
        <v>Y</v>
      </c>
    </row>
    <row r="130" spans="2:5" x14ac:dyDescent="0.2">
      <c r="B130" s="1">
        <f>'DATA 1996-2015'!A122</f>
        <v>43767</v>
      </c>
      <c r="C130" s="2">
        <f>AVERAGE('DATA 1996-2015'!B122:U122)</f>
        <v>69.349999999999994</v>
      </c>
      <c r="D130" s="2">
        <f t="shared" si="6"/>
        <v>499.05053868380497</v>
      </c>
      <c r="E130" s="7" t="str">
        <f t="shared" si="5"/>
        <v>N</v>
      </c>
    </row>
    <row r="131" spans="2:5" x14ac:dyDescent="0.2">
      <c r="B131" s="1">
        <f>'DATA 1996-2015'!A123</f>
        <v>43768</v>
      </c>
      <c r="C131" s="2">
        <f>AVERAGE('DATA 1996-2015'!B123:U123)</f>
        <v>71.05</v>
      </c>
      <c r="D131" s="2">
        <f t="shared" si="6"/>
        <v>514.58333439993294</v>
      </c>
      <c r="E131" s="7" t="str">
        <f t="shared" si="5"/>
        <v>Y</v>
      </c>
    </row>
    <row r="132" spans="2:5" x14ac:dyDescent="0.2">
      <c r="B132" s="1">
        <f>'DATA 1996-2015'!A124</f>
        <v>43769</v>
      </c>
      <c r="C132" s="2">
        <f>AVERAGE('DATA 1996-2015'!B124:U124)</f>
        <v>70.5</v>
      </c>
      <c r="D132" s="2">
        <f t="shared" si="6"/>
        <v>530.66613011606091</v>
      </c>
      <c r="E132" s="7" t="str">
        <f t="shared" si="5"/>
        <v>N</v>
      </c>
    </row>
    <row r="133" spans="2:5" x14ac:dyDescent="0.2">
      <c r="B133" s="1"/>
    </row>
    <row r="134" spans="2:5" x14ac:dyDescent="0.2">
      <c r="B134" s="1"/>
    </row>
    <row r="135" spans="2:5" x14ac:dyDescent="0.2">
      <c r="B135" s="1"/>
    </row>
    <row r="136" spans="2:5" x14ac:dyDescent="0.2">
      <c r="B136" s="1"/>
    </row>
    <row r="137" spans="2:5" x14ac:dyDescent="0.2">
      <c r="B137" s="1"/>
    </row>
    <row r="138" spans="2:5" x14ac:dyDescent="0.2">
      <c r="B138" s="1"/>
    </row>
    <row r="139" spans="2:5" x14ac:dyDescent="0.2">
      <c r="B139" s="1"/>
    </row>
    <row r="140" spans="2:5" x14ac:dyDescent="0.2">
      <c r="B140" s="1"/>
    </row>
    <row r="141" spans="2:5" x14ac:dyDescent="0.2">
      <c r="B141" s="1"/>
    </row>
    <row r="142" spans="2:5" x14ac:dyDescent="0.2">
      <c r="B142" s="1"/>
    </row>
    <row r="143" spans="2:5" x14ac:dyDescent="0.2">
      <c r="B143" s="1"/>
    </row>
    <row r="144" spans="2:5" x14ac:dyDescent="0.2">
      <c r="B144" s="1"/>
    </row>
    <row r="145" spans="2:2" x14ac:dyDescent="0.2">
      <c r="B145" s="1"/>
    </row>
    <row r="146" spans="2:2" x14ac:dyDescent="0.2">
      <c r="B146" s="1"/>
    </row>
    <row r="147" spans="2:2" x14ac:dyDescent="0.2">
      <c r="B147" s="1"/>
    </row>
    <row r="148" spans="2:2" x14ac:dyDescent="0.2">
      <c r="B148" s="1"/>
    </row>
    <row r="149" spans="2:2" x14ac:dyDescent="0.2">
      <c r="B149" s="1"/>
    </row>
    <row r="150" spans="2:2" x14ac:dyDescent="0.2">
      <c r="B150" s="1"/>
    </row>
    <row r="151" spans="2:2" x14ac:dyDescent="0.2">
      <c r="B151" s="1"/>
    </row>
    <row r="152" spans="2:2" x14ac:dyDescent="0.2">
      <c r="B152" s="1"/>
    </row>
    <row r="153" spans="2:2" x14ac:dyDescent="0.2">
      <c r="B153" s="1"/>
    </row>
    <row r="154" spans="2:2" x14ac:dyDescent="0.2">
      <c r="B154" s="1"/>
    </row>
    <row r="155" spans="2:2" x14ac:dyDescent="0.2">
      <c r="B155" s="1"/>
    </row>
    <row r="156" spans="2:2" x14ac:dyDescent="0.2">
      <c r="B156" s="1"/>
    </row>
    <row r="157" spans="2:2" x14ac:dyDescent="0.2">
      <c r="B157" s="1"/>
    </row>
    <row r="158" spans="2:2" x14ac:dyDescent="0.2">
      <c r="B158" s="1"/>
    </row>
    <row r="159" spans="2:2" x14ac:dyDescent="0.2">
      <c r="B159" s="1"/>
    </row>
    <row r="160" spans="2:2" x14ac:dyDescent="0.2">
      <c r="B160" s="1"/>
    </row>
    <row r="161" spans="2:2" x14ac:dyDescent="0.2">
      <c r="B161" s="1"/>
    </row>
    <row r="162" spans="2:2" x14ac:dyDescent="0.2">
      <c r="B162" s="1"/>
    </row>
    <row r="163" spans="2:2" x14ac:dyDescent="0.2">
      <c r="B163" s="1"/>
    </row>
    <row r="164" spans="2:2" x14ac:dyDescent="0.2">
      <c r="B164" s="1"/>
    </row>
    <row r="165" spans="2:2" x14ac:dyDescent="0.2">
      <c r="B165" s="1"/>
    </row>
    <row r="166" spans="2:2" x14ac:dyDescent="0.2">
      <c r="B166" s="1"/>
    </row>
    <row r="167" spans="2:2" x14ac:dyDescent="0.2">
      <c r="B167" s="1"/>
    </row>
    <row r="168" spans="2:2" x14ac:dyDescent="0.2">
      <c r="B168" s="1"/>
    </row>
    <row r="169" spans="2:2" x14ac:dyDescent="0.2">
      <c r="B169" s="1"/>
    </row>
    <row r="170" spans="2:2" x14ac:dyDescent="0.2">
      <c r="B170" s="1"/>
    </row>
    <row r="171" spans="2:2" x14ac:dyDescent="0.2">
      <c r="B171" s="1"/>
    </row>
    <row r="172" spans="2:2" x14ac:dyDescent="0.2">
      <c r="B172" s="1"/>
    </row>
    <row r="173" spans="2:2" x14ac:dyDescent="0.2">
      <c r="B173" s="1"/>
    </row>
    <row r="174" spans="2:2" x14ac:dyDescent="0.2">
      <c r="B174" s="1"/>
    </row>
    <row r="175" spans="2:2" x14ac:dyDescent="0.2">
      <c r="B175" s="1"/>
    </row>
    <row r="176" spans="2:2" x14ac:dyDescent="0.2">
      <c r="B176" s="1"/>
    </row>
    <row r="177" spans="2:2" x14ac:dyDescent="0.2">
      <c r="B177" s="1"/>
    </row>
    <row r="178" spans="2:2" x14ac:dyDescent="0.2">
      <c r="B178" s="1"/>
    </row>
    <row r="179" spans="2:2" x14ac:dyDescent="0.2">
      <c r="B179" s="1"/>
    </row>
    <row r="180" spans="2:2" x14ac:dyDescent="0.2">
      <c r="B180" s="1"/>
    </row>
    <row r="181" spans="2:2" x14ac:dyDescent="0.2">
      <c r="B181" s="1"/>
    </row>
    <row r="182" spans="2:2" x14ac:dyDescent="0.2">
      <c r="B182" s="1"/>
    </row>
    <row r="183" spans="2:2" x14ac:dyDescent="0.2">
      <c r="B183" s="1"/>
    </row>
    <row r="184" spans="2:2" x14ac:dyDescent="0.2">
      <c r="B184" s="1"/>
    </row>
    <row r="185" spans="2:2" x14ac:dyDescent="0.2">
      <c r="B185" s="1"/>
    </row>
    <row r="186" spans="2:2" x14ac:dyDescent="0.2">
      <c r="B186" s="1"/>
    </row>
    <row r="187" spans="2:2" x14ac:dyDescent="0.2">
      <c r="B187" s="1"/>
    </row>
    <row r="188" spans="2:2" x14ac:dyDescent="0.2">
      <c r="B188" s="1"/>
    </row>
    <row r="189" spans="2:2" x14ac:dyDescent="0.2">
      <c r="B189" s="1"/>
    </row>
    <row r="190" spans="2:2" x14ac:dyDescent="0.2">
      <c r="B190" s="1"/>
    </row>
    <row r="191" spans="2:2" x14ac:dyDescent="0.2">
      <c r="B191" s="1"/>
    </row>
    <row r="192" spans="2:2" x14ac:dyDescent="0.2">
      <c r="B192" s="1"/>
    </row>
    <row r="193" spans="2:2" x14ac:dyDescent="0.2">
      <c r="B193" s="1"/>
    </row>
    <row r="194" spans="2:2" x14ac:dyDescent="0.2">
      <c r="B194" s="1"/>
    </row>
    <row r="195" spans="2:2" x14ac:dyDescent="0.2">
      <c r="B195" s="1"/>
    </row>
    <row r="196" spans="2:2" x14ac:dyDescent="0.2">
      <c r="B196" s="1"/>
    </row>
    <row r="197" spans="2:2" x14ac:dyDescent="0.2">
      <c r="B197" s="1"/>
    </row>
    <row r="198" spans="2:2" x14ac:dyDescent="0.2">
      <c r="B198" s="1"/>
    </row>
    <row r="199" spans="2:2" x14ac:dyDescent="0.2">
      <c r="B199" s="1"/>
    </row>
    <row r="200" spans="2:2" x14ac:dyDescent="0.2">
      <c r="B200" s="1"/>
    </row>
    <row r="201" spans="2:2" x14ac:dyDescent="0.2">
      <c r="B201" s="1"/>
    </row>
    <row r="202" spans="2:2" x14ac:dyDescent="0.2">
      <c r="B202" s="1"/>
    </row>
    <row r="203" spans="2:2" x14ac:dyDescent="0.2">
      <c r="B203" s="1"/>
    </row>
    <row r="204" spans="2:2" x14ac:dyDescent="0.2">
      <c r="B204" s="1"/>
    </row>
    <row r="205" spans="2:2" x14ac:dyDescent="0.2">
      <c r="B205" s="1"/>
    </row>
    <row r="206" spans="2:2" x14ac:dyDescent="0.2">
      <c r="B206" s="1"/>
    </row>
    <row r="207" spans="2:2" x14ac:dyDescent="0.2">
      <c r="B207" s="1"/>
    </row>
    <row r="208" spans="2:2" x14ac:dyDescent="0.2">
      <c r="B208" s="1"/>
    </row>
    <row r="209" spans="2:2" x14ac:dyDescent="0.2">
      <c r="B209" s="1"/>
    </row>
    <row r="210" spans="2:2" x14ac:dyDescent="0.2">
      <c r="B210" s="1"/>
    </row>
    <row r="211" spans="2:2" x14ac:dyDescent="0.2">
      <c r="B211" s="1"/>
    </row>
    <row r="212" spans="2:2" x14ac:dyDescent="0.2">
      <c r="B212" s="1"/>
    </row>
    <row r="213" spans="2:2" x14ac:dyDescent="0.2">
      <c r="B213" s="1"/>
    </row>
    <row r="214" spans="2:2" x14ac:dyDescent="0.2">
      <c r="B214" s="1"/>
    </row>
    <row r="215" spans="2:2" x14ac:dyDescent="0.2">
      <c r="B215" s="1"/>
    </row>
    <row r="216" spans="2:2" x14ac:dyDescent="0.2">
      <c r="B216" s="1"/>
    </row>
    <row r="217" spans="2:2" x14ac:dyDescent="0.2">
      <c r="B217" s="1"/>
    </row>
    <row r="218" spans="2:2" x14ac:dyDescent="0.2">
      <c r="B218" s="1"/>
    </row>
    <row r="219" spans="2:2" x14ac:dyDescent="0.2">
      <c r="B219" s="1"/>
    </row>
    <row r="220" spans="2:2" x14ac:dyDescent="0.2">
      <c r="B220" s="1"/>
    </row>
    <row r="221" spans="2:2" x14ac:dyDescent="0.2">
      <c r="B221" s="1"/>
    </row>
    <row r="222" spans="2:2" x14ac:dyDescent="0.2">
      <c r="B222" s="1"/>
    </row>
    <row r="223" spans="2:2" x14ac:dyDescent="0.2">
      <c r="B223" s="1"/>
    </row>
    <row r="224" spans="2:2" x14ac:dyDescent="0.2">
      <c r="B224" s="1"/>
    </row>
    <row r="225" spans="2:2" x14ac:dyDescent="0.2">
      <c r="B225" s="1"/>
    </row>
    <row r="226" spans="2:2" x14ac:dyDescent="0.2">
      <c r="B226" s="1"/>
    </row>
    <row r="227" spans="2:2" x14ac:dyDescent="0.2">
      <c r="B227" s="1"/>
    </row>
    <row r="228" spans="2:2" x14ac:dyDescent="0.2">
      <c r="B228" s="1"/>
    </row>
    <row r="229" spans="2:2" x14ac:dyDescent="0.2">
      <c r="B229" s="1"/>
    </row>
    <row r="230" spans="2:2" x14ac:dyDescent="0.2">
      <c r="B230" s="1"/>
    </row>
    <row r="231" spans="2:2" x14ac:dyDescent="0.2">
      <c r="B231" s="1"/>
    </row>
    <row r="232" spans="2:2" x14ac:dyDescent="0.2">
      <c r="B232" s="1"/>
    </row>
    <row r="233" spans="2:2" x14ac:dyDescent="0.2">
      <c r="B233" s="1"/>
    </row>
    <row r="234" spans="2:2" x14ac:dyDescent="0.2">
      <c r="B234" s="1"/>
    </row>
    <row r="235" spans="2:2" x14ac:dyDescent="0.2">
      <c r="B235" s="1"/>
    </row>
    <row r="236" spans="2:2" x14ac:dyDescent="0.2">
      <c r="B236" s="1"/>
    </row>
    <row r="237" spans="2:2" x14ac:dyDescent="0.2">
      <c r="B237" s="1"/>
    </row>
    <row r="238" spans="2:2" x14ac:dyDescent="0.2">
      <c r="B238" s="1"/>
    </row>
    <row r="239" spans="2:2" x14ac:dyDescent="0.2">
      <c r="B239" s="1"/>
    </row>
    <row r="240" spans="2:2" x14ac:dyDescent="0.2">
      <c r="B240" s="1"/>
    </row>
    <row r="241" spans="2:2" x14ac:dyDescent="0.2">
      <c r="B241" s="1"/>
    </row>
    <row r="242" spans="2:2" x14ac:dyDescent="0.2">
      <c r="B242" s="1"/>
    </row>
    <row r="243" spans="2:2" x14ac:dyDescent="0.2">
      <c r="B243" s="1"/>
    </row>
    <row r="244" spans="2:2" x14ac:dyDescent="0.2">
      <c r="B244" s="1"/>
    </row>
    <row r="245" spans="2:2" x14ac:dyDescent="0.2">
      <c r="B245" s="1"/>
    </row>
    <row r="246" spans="2:2" x14ac:dyDescent="0.2">
      <c r="B246" s="1"/>
    </row>
    <row r="247" spans="2:2" x14ac:dyDescent="0.2">
      <c r="B247" s="1"/>
    </row>
    <row r="248" spans="2:2" x14ac:dyDescent="0.2">
      <c r="B248" s="1"/>
    </row>
    <row r="249" spans="2:2" x14ac:dyDescent="0.2">
      <c r="B249" s="1"/>
    </row>
    <row r="250" spans="2:2" x14ac:dyDescent="0.2">
      <c r="B250" s="1"/>
    </row>
    <row r="251" spans="2:2" x14ac:dyDescent="0.2">
      <c r="B251" s="1"/>
    </row>
    <row r="252" spans="2:2" x14ac:dyDescent="0.2">
      <c r="B252" s="1"/>
    </row>
    <row r="253" spans="2:2" x14ac:dyDescent="0.2">
      <c r="B253" s="1"/>
    </row>
    <row r="254" spans="2:2" x14ac:dyDescent="0.2">
      <c r="B254" s="1"/>
    </row>
    <row r="255" spans="2:2" x14ac:dyDescent="0.2">
      <c r="B255" s="1"/>
    </row>
    <row r="256" spans="2:2" x14ac:dyDescent="0.2">
      <c r="B256" s="1"/>
    </row>
    <row r="257" spans="2:2" x14ac:dyDescent="0.2">
      <c r="B257" s="1"/>
    </row>
    <row r="258" spans="2:2" x14ac:dyDescent="0.2">
      <c r="B258" s="1"/>
    </row>
    <row r="259" spans="2:2" x14ac:dyDescent="0.2">
      <c r="B259" s="1"/>
    </row>
    <row r="260" spans="2:2" x14ac:dyDescent="0.2">
      <c r="B260" s="1"/>
    </row>
    <row r="261" spans="2:2" x14ac:dyDescent="0.2">
      <c r="B261" s="1"/>
    </row>
    <row r="262" spans="2:2" x14ac:dyDescent="0.2">
      <c r="B262" s="1"/>
    </row>
    <row r="263" spans="2:2" x14ac:dyDescent="0.2">
      <c r="B263" s="1"/>
    </row>
    <row r="264" spans="2:2" x14ac:dyDescent="0.2">
      <c r="B264" s="1"/>
    </row>
    <row r="265" spans="2:2" x14ac:dyDescent="0.2">
      <c r="B265" s="1"/>
    </row>
    <row r="266" spans="2:2" x14ac:dyDescent="0.2">
      <c r="B266" s="1"/>
    </row>
    <row r="267" spans="2:2" x14ac:dyDescent="0.2">
      <c r="B267" s="1"/>
    </row>
    <row r="268" spans="2:2" x14ac:dyDescent="0.2">
      <c r="B268" s="1"/>
    </row>
    <row r="269" spans="2:2" x14ac:dyDescent="0.2">
      <c r="B269" s="1"/>
    </row>
    <row r="270" spans="2:2" x14ac:dyDescent="0.2">
      <c r="B270" s="1"/>
    </row>
    <row r="271" spans="2:2" x14ac:dyDescent="0.2">
      <c r="B271" s="1"/>
    </row>
    <row r="272" spans="2:2" x14ac:dyDescent="0.2">
      <c r="B272" s="1"/>
    </row>
    <row r="273" spans="2:2" x14ac:dyDescent="0.2">
      <c r="B273" s="1"/>
    </row>
    <row r="274" spans="2:2" x14ac:dyDescent="0.2">
      <c r="B274" s="1"/>
    </row>
    <row r="275" spans="2:2" x14ac:dyDescent="0.2">
      <c r="B275" s="1"/>
    </row>
    <row r="276" spans="2:2" x14ac:dyDescent="0.2">
      <c r="B276" s="1"/>
    </row>
    <row r="277" spans="2:2" x14ac:dyDescent="0.2">
      <c r="B277" s="1"/>
    </row>
    <row r="278" spans="2:2" x14ac:dyDescent="0.2">
      <c r="B278" s="1"/>
    </row>
    <row r="279" spans="2:2" x14ac:dyDescent="0.2">
      <c r="B279" s="1"/>
    </row>
    <row r="280" spans="2:2" x14ac:dyDescent="0.2">
      <c r="B280" s="1"/>
    </row>
    <row r="281" spans="2:2" x14ac:dyDescent="0.2">
      <c r="B281" s="1"/>
    </row>
    <row r="282" spans="2:2" x14ac:dyDescent="0.2">
      <c r="B282" s="1"/>
    </row>
    <row r="283" spans="2:2" x14ac:dyDescent="0.2">
      <c r="B283" s="1"/>
    </row>
    <row r="284" spans="2:2" x14ac:dyDescent="0.2">
      <c r="B284" s="1"/>
    </row>
    <row r="285" spans="2:2" x14ac:dyDescent="0.2">
      <c r="B285" s="1"/>
    </row>
    <row r="286" spans="2:2" x14ac:dyDescent="0.2">
      <c r="B286" s="1"/>
    </row>
    <row r="287" spans="2:2" x14ac:dyDescent="0.2">
      <c r="B287" s="1"/>
    </row>
    <row r="288" spans="2:2" x14ac:dyDescent="0.2">
      <c r="B288" s="1"/>
    </row>
    <row r="289" spans="2:2" x14ac:dyDescent="0.2">
      <c r="B289" s="1"/>
    </row>
    <row r="290" spans="2:2" x14ac:dyDescent="0.2">
      <c r="B290" s="1"/>
    </row>
    <row r="291" spans="2:2" x14ac:dyDescent="0.2">
      <c r="B291" s="1"/>
    </row>
    <row r="292" spans="2:2" x14ac:dyDescent="0.2">
      <c r="B292" s="1"/>
    </row>
    <row r="293" spans="2:2" x14ac:dyDescent="0.2">
      <c r="B293" s="1"/>
    </row>
    <row r="294" spans="2:2" x14ac:dyDescent="0.2">
      <c r="B294" s="1"/>
    </row>
    <row r="295" spans="2:2" x14ac:dyDescent="0.2">
      <c r="B295" s="1"/>
    </row>
    <row r="296" spans="2:2" x14ac:dyDescent="0.2">
      <c r="B296" s="1"/>
    </row>
    <row r="297" spans="2:2" x14ac:dyDescent="0.2">
      <c r="B297" s="1"/>
    </row>
    <row r="298" spans="2:2" x14ac:dyDescent="0.2">
      <c r="B298" s="1"/>
    </row>
    <row r="299" spans="2:2" x14ac:dyDescent="0.2">
      <c r="B299" s="1"/>
    </row>
    <row r="300" spans="2:2" x14ac:dyDescent="0.2">
      <c r="B300" s="1"/>
    </row>
    <row r="301" spans="2:2" x14ac:dyDescent="0.2">
      <c r="B301" s="1"/>
    </row>
    <row r="302" spans="2:2" x14ac:dyDescent="0.2">
      <c r="B302" s="1"/>
    </row>
    <row r="303" spans="2:2" x14ac:dyDescent="0.2">
      <c r="B303" s="1"/>
    </row>
    <row r="304" spans="2:2" x14ac:dyDescent="0.2">
      <c r="B304" s="1"/>
    </row>
    <row r="305" spans="2:2" x14ac:dyDescent="0.2">
      <c r="B305" s="1"/>
    </row>
    <row r="306" spans="2:2" x14ac:dyDescent="0.2">
      <c r="B306" s="1"/>
    </row>
    <row r="307" spans="2:2" x14ac:dyDescent="0.2">
      <c r="B307" s="1"/>
    </row>
    <row r="308" spans="2:2" x14ac:dyDescent="0.2">
      <c r="B308" s="1"/>
    </row>
    <row r="309" spans="2:2" x14ac:dyDescent="0.2">
      <c r="B309" s="1"/>
    </row>
    <row r="310" spans="2:2" x14ac:dyDescent="0.2">
      <c r="B310" s="1"/>
    </row>
    <row r="311" spans="2:2" x14ac:dyDescent="0.2">
      <c r="B311" s="1"/>
    </row>
    <row r="312" spans="2:2" x14ac:dyDescent="0.2">
      <c r="B312" s="1"/>
    </row>
    <row r="313" spans="2:2" x14ac:dyDescent="0.2">
      <c r="B313" s="1"/>
    </row>
    <row r="314" spans="2:2" x14ac:dyDescent="0.2">
      <c r="B314" s="1"/>
    </row>
    <row r="315" spans="2:2" x14ac:dyDescent="0.2">
      <c r="B315" s="1"/>
    </row>
    <row r="316" spans="2:2" x14ac:dyDescent="0.2">
      <c r="B316" s="1"/>
    </row>
    <row r="317" spans="2:2" x14ac:dyDescent="0.2">
      <c r="B317" s="1"/>
    </row>
    <row r="318" spans="2:2" x14ac:dyDescent="0.2">
      <c r="B318" s="1"/>
    </row>
    <row r="319" spans="2:2" x14ac:dyDescent="0.2">
      <c r="B319" s="1"/>
    </row>
    <row r="320" spans="2:2" x14ac:dyDescent="0.2">
      <c r="B320" s="1"/>
    </row>
    <row r="321" spans="2:2" x14ac:dyDescent="0.2">
      <c r="B321" s="1"/>
    </row>
    <row r="322" spans="2:2" x14ac:dyDescent="0.2">
      <c r="B322" s="1"/>
    </row>
    <row r="323" spans="2:2" x14ac:dyDescent="0.2">
      <c r="B323" s="1"/>
    </row>
    <row r="324" spans="2:2" x14ac:dyDescent="0.2">
      <c r="B324" s="1"/>
    </row>
    <row r="325" spans="2:2" x14ac:dyDescent="0.2">
      <c r="B325" s="1"/>
    </row>
    <row r="326" spans="2:2" x14ac:dyDescent="0.2">
      <c r="B326" s="1"/>
    </row>
    <row r="327" spans="2:2" x14ac:dyDescent="0.2">
      <c r="B327" s="1"/>
    </row>
    <row r="328" spans="2:2" x14ac:dyDescent="0.2">
      <c r="B328" s="1"/>
    </row>
    <row r="329" spans="2:2" x14ac:dyDescent="0.2">
      <c r="B329" s="1"/>
    </row>
    <row r="330" spans="2:2" x14ac:dyDescent="0.2">
      <c r="B330" s="1"/>
    </row>
    <row r="331" spans="2:2" x14ac:dyDescent="0.2">
      <c r="B331" s="1"/>
    </row>
    <row r="332" spans="2:2" x14ac:dyDescent="0.2">
      <c r="B332" s="1"/>
    </row>
    <row r="333" spans="2:2" x14ac:dyDescent="0.2">
      <c r="B333" s="1"/>
    </row>
    <row r="334" spans="2:2" x14ac:dyDescent="0.2">
      <c r="B334" s="1"/>
    </row>
    <row r="335" spans="2:2" x14ac:dyDescent="0.2">
      <c r="B335" s="1"/>
    </row>
    <row r="336" spans="2:2" x14ac:dyDescent="0.2">
      <c r="B336" s="1"/>
    </row>
    <row r="337" spans="2:2" x14ac:dyDescent="0.2">
      <c r="B337" s="1"/>
    </row>
    <row r="338" spans="2:2" x14ac:dyDescent="0.2">
      <c r="B338" s="1"/>
    </row>
    <row r="339" spans="2:2" x14ac:dyDescent="0.2">
      <c r="B339" s="1"/>
    </row>
    <row r="340" spans="2:2" x14ac:dyDescent="0.2">
      <c r="B340" s="1"/>
    </row>
    <row r="341" spans="2:2" x14ac:dyDescent="0.2">
      <c r="B341" s="1"/>
    </row>
    <row r="342" spans="2:2" x14ac:dyDescent="0.2">
      <c r="B342" s="1"/>
    </row>
    <row r="343" spans="2:2" x14ac:dyDescent="0.2">
      <c r="B343" s="1"/>
    </row>
    <row r="344" spans="2:2" x14ac:dyDescent="0.2">
      <c r="B344" s="1"/>
    </row>
    <row r="345" spans="2:2" x14ac:dyDescent="0.2">
      <c r="B345" s="1"/>
    </row>
    <row r="346" spans="2:2" x14ac:dyDescent="0.2">
      <c r="B346" s="1"/>
    </row>
    <row r="347" spans="2:2" x14ac:dyDescent="0.2">
      <c r="B347" s="1"/>
    </row>
    <row r="348" spans="2:2" x14ac:dyDescent="0.2">
      <c r="B348" s="1"/>
    </row>
    <row r="349" spans="2:2" x14ac:dyDescent="0.2">
      <c r="B349" s="1"/>
    </row>
    <row r="350" spans="2:2" x14ac:dyDescent="0.2">
      <c r="B350" s="1"/>
    </row>
    <row r="351" spans="2:2" x14ac:dyDescent="0.2">
      <c r="B351" s="1"/>
    </row>
    <row r="352" spans="2:2" x14ac:dyDescent="0.2">
      <c r="B352" s="1"/>
    </row>
    <row r="353" spans="2:2" x14ac:dyDescent="0.2">
      <c r="B353" s="1"/>
    </row>
    <row r="354" spans="2:2" x14ac:dyDescent="0.2">
      <c r="B354" s="1"/>
    </row>
    <row r="355" spans="2:2" x14ac:dyDescent="0.2">
      <c r="B355" s="1"/>
    </row>
    <row r="356" spans="2:2" x14ac:dyDescent="0.2">
      <c r="B356" s="1"/>
    </row>
    <row r="357" spans="2:2" x14ac:dyDescent="0.2">
      <c r="B357" s="1"/>
    </row>
    <row r="358" spans="2:2" x14ac:dyDescent="0.2">
      <c r="B358" s="1"/>
    </row>
    <row r="359" spans="2:2" x14ac:dyDescent="0.2">
      <c r="B359" s="1"/>
    </row>
    <row r="360" spans="2:2" x14ac:dyDescent="0.2">
      <c r="B360" s="1"/>
    </row>
    <row r="361" spans="2:2" x14ac:dyDescent="0.2">
      <c r="B361" s="1"/>
    </row>
    <row r="362" spans="2:2" x14ac:dyDescent="0.2">
      <c r="B362" s="1"/>
    </row>
    <row r="363" spans="2:2" x14ac:dyDescent="0.2">
      <c r="B363" s="1"/>
    </row>
    <row r="364" spans="2:2" x14ac:dyDescent="0.2">
      <c r="B364" s="1"/>
    </row>
    <row r="365" spans="2:2" x14ac:dyDescent="0.2">
      <c r="B365" s="1"/>
    </row>
    <row r="366" spans="2:2" x14ac:dyDescent="0.2">
      <c r="B366" s="1"/>
    </row>
    <row r="367" spans="2:2" x14ac:dyDescent="0.2">
      <c r="B367" s="1"/>
    </row>
    <row r="368" spans="2:2" x14ac:dyDescent="0.2">
      <c r="B368" s="1"/>
    </row>
    <row r="369" spans="2:2" x14ac:dyDescent="0.2">
      <c r="B369" s="1"/>
    </row>
    <row r="370" spans="2:2" x14ac:dyDescent="0.2">
      <c r="B370" s="1"/>
    </row>
    <row r="371" spans="2:2" x14ac:dyDescent="0.2">
      <c r="B371" s="1"/>
    </row>
    <row r="372" spans="2:2" x14ac:dyDescent="0.2">
      <c r="B372" s="1"/>
    </row>
    <row r="373" spans="2:2" x14ac:dyDescent="0.2">
      <c r="B373" s="1"/>
    </row>
    <row r="374" spans="2:2" x14ac:dyDescent="0.2">
      <c r="B374" s="1"/>
    </row>
    <row r="375" spans="2:2" x14ac:dyDescent="0.2">
      <c r="B375" s="1"/>
    </row>
    <row r="376" spans="2:2" x14ac:dyDescent="0.2">
      <c r="B376" s="1"/>
    </row>
    <row r="377" spans="2:2" x14ac:dyDescent="0.2">
      <c r="B377" s="1"/>
    </row>
    <row r="378" spans="2:2" x14ac:dyDescent="0.2">
      <c r="B378" s="1"/>
    </row>
    <row r="379" spans="2:2" x14ac:dyDescent="0.2">
      <c r="B379" s="1"/>
    </row>
    <row r="380" spans="2:2" x14ac:dyDescent="0.2">
      <c r="B380" s="1"/>
    </row>
    <row r="381" spans="2:2" x14ac:dyDescent="0.2">
      <c r="B381" s="1"/>
    </row>
    <row r="382" spans="2:2" x14ac:dyDescent="0.2">
      <c r="B382" s="1"/>
    </row>
    <row r="383" spans="2:2" x14ac:dyDescent="0.2">
      <c r="B383" s="1"/>
    </row>
    <row r="384" spans="2:2" x14ac:dyDescent="0.2">
      <c r="B384" s="1"/>
    </row>
    <row r="385" spans="2:2" x14ac:dyDescent="0.2">
      <c r="B385" s="1"/>
    </row>
    <row r="386" spans="2:2" x14ac:dyDescent="0.2">
      <c r="B386" s="1"/>
    </row>
    <row r="387" spans="2:2" x14ac:dyDescent="0.2">
      <c r="B387" s="1"/>
    </row>
    <row r="388" spans="2:2" x14ac:dyDescent="0.2">
      <c r="B388" s="1"/>
    </row>
    <row r="389" spans="2:2" x14ac:dyDescent="0.2">
      <c r="B389" s="1"/>
    </row>
    <row r="390" spans="2:2" x14ac:dyDescent="0.2">
      <c r="B390" s="1"/>
    </row>
    <row r="391" spans="2:2" x14ac:dyDescent="0.2">
      <c r="B391" s="1"/>
    </row>
    <row r="392" spans="2:2" x14ac:dyDescent="0.2">
      <c r="B392" s="1"/>
    </row>
    <row r="393" spans="2:2" x14ac:dyDescent="0.2">
      <c r="B393" s="1"/>
    </row>
    <row r="394" spans="2:2" x14ac:dyDescent="0.2">
      <c r="B394" s="1"/>
    </row>
    <row r="395" spans="2:2" x14ac:dyDescent="0.2">
      <c r="B395" s="1"/>
    </row>
    <row r="396" spans="2:2" x14ac:dyDescent="0.2">
      <c r="B396" s="1"/>
    </row>
    <row r="397" spans="2:2" x14ac:dyDescent="0.2">
      <c r="B397" s="1"/>
    </row>
    <row r="398" spans="2:2" x14ac:dyDescent="0.2">
      <c r="B398" s="1"/>
    </row>
    <row r="399" spans="2:2" x14ac:dyDescent="0.2">
      <c r="B399" s="1"/>
    </row>
    <row r="400" spans="2:2" x14ac:dyDescent="0.2">
      <c r="B400" s="1"/>
    </row>
    <row r="401" spans="2:2" x14ac:dyDescent="0.2">
      <c r="B401" s="1"/>
    </row>
    <row r="402" spans="2:2" x14ac:dyDescent="0.2">
      <c r="B402" s="1"/>
    </row>
    <row r="403" spans="2:2" x14ac:dyDescent="0.2">
      <c r="B403" s="1"/>
    </row>
    <row r="404" spans="2:2" x14ac:dyDescent="0.2">
      <c r="B404" s="1"/>
    </row>
    <row r="405" spans="2:2" x14ac:dyDescent="0.2">
      <c r="B405" s="1"/>
    </row>
    <row r="406" spans="2:2" x14ac:dyDescent="0.2">
      <c r="B406" s="1"/>
    </row>
    <row r="407" spans="2:2" x14ac:dyDescent="0.2">
      <c r="B407" s="1"/>
    </row>
    <row r="408" spans="2:2" x14ac:dyDescent="0.2">
      <c r="B408" s="1"/>
    </row>
    <row r="409" spans="2:2" x14ac:dyDescent="0.2">
      <c r="B409" s="1"/>
    </row>
    <row r="410" spans="2:2" x14ac:dyDescent="0.2">
      <c r="B410" s="1"/>
    </row>
    <row r="411" spans="2:2" x14ac:dyDescent="0.2">
      <c r="B411" s="1"/>
    </row>
    <row r="412" spans="2:2" x14ac:dyDescent="0.2">
      <c r="B412" s="1"/>
    </row>
    <row r="413" spans="2:2" x14ac:dyDescent="0.2">
      <c r="B413" s="1"/>
    </row>
    <row r="414" spans="2:2" x14ac:dyDescent="0.2">
      <c r="B414" s="1"/>
    </row>
    <row r="415" spans="2:2" x14ac:dyDescent="0.2">
      <c r="B415" s="1"/>
    </row>
    <row r="416" spans="2:2" x14ac:dyDescent="0.2">
      <c r="B416" s="1"/>
    </row>
    <row r="417" spans="2:2" x14ac:dyDescent="0.2">
      <c r="B417" s="1"/>
    </row>
    <row r="418" spans="2:2" x14ac:dyDescent="0.2">
      <c r="B418" s="1"/>
    </row>
    <row r="419" spans="2:2" x14ac:dyDescent="0.2">
      <c r="B419" s="1"/>
    </row>
    <row r="420" spans="2:2" x14ac:dyDescent="0.2">
      <c r="B420" s="1"/>
    </row>
    <row r="421" spans="2:2" x14ac:dyDescent="0.2">
      <c r="B421" s="1"/>
    </row>
    <row r="422" spans="2:2" x14ac:dyDescent="0.2">
      <c r="B422" s="1"/>
    </row>
    <row r="423" spans="2:2" x14ac:dyDescent="0.2">
      <c r="B423" s="1"/>
    </row>
    <row r="424" spans="2:2" x14ac:dyDescent="0.2">
      <c r="B424" s="1"/>
    </row>
    <row r="425" spans="2:2" x14ac:dyDescent="0.2">
      <c r="B425" s="1"/>
    </row>
    <row r="426" spans="2:2" x14ac:dyDescent="0.2">
      <c r="B426" s="1"/>
    </row>
    <row r="427" spans="2:2" x14ac:dyDescent="0.2">
      <c r="B427" s="1"/>
    </row>
    <row r="428" spans="2:2" x14ac:dyDescent="0.2">
      <c r="B428" s="1"/>
    </row>
    <row r="429" spans="2:2" x14ac:dyDescent="0.2">
      <c r="B42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F8E81-01DC-A747-A703-7849CCF25058}">
  <dimension ref="A1:AO126"/>
  <sheetViews>
    <sheetView topLeftCell="A62" workbookViewId="0">
      <selection activeCell="AO79" sqref="AO79"/>
    </sheetView>
  </sheetViews>
  <sheetFormatPr baseColWidth="10" defaultRowHeight="16" x14ac:dyDescent="0.2"/>
  <cols>
    <col min="1" max="1" width="7.6640625" bestFit="1" customWidth="1"/>
    <col min="2" max="2" width="7.6640625" style="14" bestFit="1" customWidth="1"/>
    <col min="3" max="3" width="12.6640625" bestFit="1" customWidth="1"/>
    <col min="4" max="4" width="7.6640625" style="14" bestFit="1" customWidth="1"/>
    <col min="5" max="5" width="6.6640625" bestFit="1" customWidth="1"/>
    <col min="6" max="6" width="7.6640625" style="14" bestFit="1" customWidth="1"/>
    <col min="7" max="7" width="6.6640625" bestFit="1" customWidth="1"/>
    <col min="8" max="8" width="7.6640625" style="14" bestFit="1" customWidth="1"/>
    <col min="9" max="9" width="6.6640625" bestFit="1" customWidth="1"/>
    <col min="10" max="10" width="7.6640625" style="14" bestFit="1" customWidth="1"/>
    <col min="11" max="11" width="6.6640625" bestFit="1" customWidth="1"/>
    <col min="12" max="12" width="5.1640625" style="14" bestFit="1" customWidth="1"/>
    <col min="13" max="13" width="6.6640625" bestFit="1" customWidth="1"/>
    <col min="14" max="14" width="7.6640625" style="14" bestFit="1" customWidth="1"/>
    <col min="15" max="15" width="6.6640625" bestFit="1" customWidth="1"/>
    <col min="16" max="16" width="7.6640625" style="14" bestFit="1" customWidth="1"/>
    <col min="17" max="17" width="6.6640625" bestFit="1" customWidth="1"/>
    <col min="18" max="18" width="7.6640625" style="14" bestFit="1" customWidth="1"/>
    <col min="19" max="19" width="6.6640625" bestFit="1" customWidth="1"/>
    <col min="20" max="20" width="5.1640625" style="14" bestFit="1" customWidth="1"/>
    <col min="21" max="21" width="6.6640625" bestFit="1" customWidth="1"/>
    <col min="22" max="22" width="7.6640625" style="14" bestFit="1" customWidth="1"/>
    <col min="23" max="23" width="6.6640625" bestFit="1" customWidth="1"/>
    <col min="24" max="24" width="7.6640625" style="14" bestFit="1" customWidth="1"/>
    <col min="25" max="25" width="6.6640625" bestFit="1" customWidth="1"/>
    <col min="26" max="26" width="7.6640625" style="14" bestFit="1" customWidth="1"/>
    <col min="27" max="27" width="6.6640625" bestFit="1" customWidth="1"/>
    <col min="28" max="28" width="7.6640625" style="14" bestFit="1" customWidth="1"/>
    <col min="29" max="29" width="6.6640625" bestFit="1" customWidth="1"/>
    <col min="30" max="30" width="7.6640625" style="14" bestFit="1" customWidth="1"/>
    <col min="31" max="31" width="6.6640625" bestFit="1" customWidth="1"/>
    <col min="32" max="32" width="7.6640625" style="14" bestFit="1" customWidth="1"/>
    <col min="33" max="33" width="6.6640625" bestFit="1" customWidth="1"/>
    <col min="34" max="34" width="7.6640625" style="14" bestFit="1" customWidth="1"/>
    <col min="35" max="35" width="6.6640625" bestFit="1" customWidth="1"/>
    <col min="36" max="36" width="7.6640625" style="14" bestFit="1" customWidth="1"/>
    <col min="37" max="37" width="6.6640625" bestFit="1" customWidth="1"/>
    <col min="38" max="38" width="7.6640625" style="14" bestFit="1" customWidth="1"/>
    <col min="39" max="39" width="6.6640625" bestFit="1" customWidth="1"/>
    <col min="40" max="40" width="7.6640625" style="14" bestFit="1" customWidth="1"/>
    <col min="41" max="41" width="6.6640625" bestFit="1" customWidth="1"/>
  </cols>
  <sheetData>
    <row r="1" spans="1:41" x14ac:dyDescent="0.2">
      <c r="B1" s="12">
        <v>1996</v>
      </c>
      <c r="C1" s="3"/>
      <c r="D1" s="12">
        <v>1997</v>
      </c>
      <c r="E1" s="3"/>
      <c r="F1" s="12">
        <v>1998</v>
      </c>
      <c r="G1" s="3"/>
      <c r="H1" s="12">
        <v>1999</v>
      </c>
      <c r="I1" s="3"/>
      <c r="J1" s="12">
        <v>2000</v>
      </c>
      <c r="K1" s="3"/>
      <c r="L1" s="12">
        <v>2001</v>
      </c>
      <c r="M1" s="3"/>
      <c r="N1" s="12">
        <v>2002</v>
      </c>
      <c r="O1" s="3"/>
      <c r="P1" s="12">
        <v>2003</v>
      </c>
      <c r="Q1" s="3"/>
      <c r="R1" s="12">
        <v>2004</v>
      </c>
      <c r="S1" s="3"/>
      <c r="T1" s="12">
        <v>2005</v>
      </c>
      <c r="U1" s="3"/>
      <c r="V1" s="12">
        <v>2006</v>
      </c>
      <c r="W1" s="3"/>
      <c r="X1" s="12">
        <v>2007</v>
      </c>
      <c r="Y1" s="3"/>
      <c r="Z1" s="12">
        <v>2008</v>
      </c>
      <c r="AA1" s="3"/>
      <c r="AB1" s="12">
        <v>2009</v>
      </c>
      <c r="AC1" s="3"/>
      <c r="AD1" s="12">
        <v>2010</v>
      </c>
      <c r="AE1" s="3"/>
      <c r="AF1" s="12">
        <v>2011</v>
      </c>
      <c r="AG1" s="3"/>
      <c r="AH1" s="12">
        <v>2012</v>
      </c>
      <c r="AI1" s="3"/>
      <c r="AJ1" s="12">
        <v>2013</v>
      </c>
      <c r="AK1" s="3"/>
      <c r="AL1" s="12">
        <v>2014</v>
      </c>
      <c r="AM1" s="3"/>
      <c r="AN1" s="12">
        <v>2015</v>
      </c>
    </row>
    <row r="2" spans="1:41" x14ac:dyDescent="0.2">
      <c r="A2" s="10"/>
      <c r="B2" s="13"/>
      <c r="C2" s="11">
        <v>0</v>
      </c>
      <c r="D2" s="13"/>
      <c r="E2" s="11">
        <v>0</v>
      </c>
      <c r="F2" s="13"/>
      <c r="G2" s="11">
        <v>0</v>
      </c>
      <c r="H2" s="13"/>
      <c r="I2" s="11">
        <v>0</v>
      </c>
      <c r="J2" s="13"/>
      <c r="K2" s="11">
        <v>0</v>
      </c>
      <c r="L2" s="13"/>
      <c r="M2" s="11">
        <v>0</v>
      </c>
      <c r="N2" s="13"/>
      <c r="O2" s="11">
        <v>0</v>
      </c>
      <c r="P2" s="13"/>
      <c r="Q2" s="11">
        <v>0</v>
      </c>
      <c r="R2" s="13"/>
      <c r="S2" s="11">
        <v>0</v>
      </c>
      <c r="T2" s="13"/>
      <c r="U2" s="11">
        <v>0</v>
      </c>
      <c r="V2" s="13"/>
      <c r="W2" s="11">
        <v>0</v>
      </c>
      <c r="X2" s="13"/>
      <c r="Y2" s="11">
        <v>0</v>
      </c>
      <c r="Z2" s="13"/>
      <c r="AA2" s="11">
        <v>0</v>
      </c>
      <c r="AB2" s="13"/>
      <c r="AC2" s="11">
        <v>0</v>
      </c>
      <c r="AD2" s="13"/>
      <c r="AE2" s="11">
        <v>0</v>
      </c>
      <c r="AF2" s="13"/>
      <c r="AG2" s="11">
        <v>0</v>
      </c>
      <c r="AH2" s="13"/>
      <c r="AI2" s="11">
        <v>0</v>
      </c>
      <c r="AJ2" s="13"/>
      <c r="AK2" s="11">
        <v>0</v>
      </c>
      <c r="AL2" s="13"/>
      <c r="AM2" s="11">
        <v>0</v>
      </c>
      <c r="AN2" s="13"/>
      <c r="AO2" s="11">
        <v>0</v>
      </c>
    </row>
    <row r="3" spans="1:41" x14ac:dyDescent="0.2">
      <c r="A3" s="8">
        <v>43647</v>
      </c>
      <c r="B3" s="14">
        <v>98</v>
      </c>
      <c r="C3" s="2">
        <f>MAX(0,C2+($B$126-B3-CUSUM!F3))</f>
        <v>0</v>
      </c>
      <c r="D3" s="14">
        <v>86</v>
      </c>
      <c r="E3" s="2">
        <f>MAX(0,E2+($D$126-D3-CUSUM!F3))</f>
        <v>0</v>
      </c>
      <c r="F3" s="14">
        <v>91</v>
      </c>
      <c r="G3" s="2">
        <f>MAX(0,G2+($F$126-F3-CUSUM!F3))</f>
        <v>0</v>
      </c>
      <c r="H3" s="14">
        <v>84</v>
      </c>
      <c r="I3" s="2">
        <f>MAX(0,I2+($H$126-H3-CUSUM!F3))</f>
        <v>0</v>
      </c>
      <c r="J3" s="14">
        <v>89</v>
      </c>
      <c r="K3" s="2">
        <f>MAX(0,K2+($J$126-J3-CUSUM!F3))</f>
        <v>0</v>
      </c>
      <c r="L3" s="14">
        <v>84</v>
      </c>
      <c r="M3" s="2">
        <f>MAX(0,M2+($L$126-L3-CUSUM!F3))</f>
        <v>0</v>
      </c>
      <c r="N3" s="14">
        <v>90</v>
      </c>
      <c r="O3" s="2">
        <f>MAX(0,O2+($N$126-N3-CUSUM!F3))</f>
        <v>0</v>
      </c>
      <c r="P3" s="14">
        <v>73</v>
      </c>
      <c r="Q3" s="2">
        <f>MAX(0,Q2+($P$126-P3-CUSUM!F3))</f>
        <v>6.3794059967468701</v>
      </c>
      <c r="R3" s="14">
        <v>82</v>
      </c>
      <c r="S3" s="2">
        <f>MAX(0,S2+($R$126-R3-CUSUM!F3))</f>
        <v>0</v>
      </c>
      <c r="T3" s="14">
        <v>91</v>
      </c>
      <c r="U3" s="2">
        <f>MAX(0,U2+($T$126-T3-CUSUM!F3))</f>
        <v>0</v>
      </c>
      <c r="V3" s="14">
        <v>93</v>
      </c>
      <c r="W3" s="2">
        <f>MAX(0,W2+($V$126-V3-CUSUM!F3))</f>
        <v>0</v>
      </c>
      <c r="X3" s="14">
        <v>95</v>
      </c>
      <c r="Y3" s="2">
        <f>MAX(0,Y2+($X$126-X3-CUSUM!F3))</f>
        <v>0</v>
      </c>
      <c r="Z3" s="14">
        <v>85</v>
      </c>
      <c r="AA3" s="2">
        <f>MAX(0,AA2+($Z$126-Z3-CUSUM!F3))</f>
        <v>0</v>
      </c>
      <c r="AB3" s="14">
        <v>95</v>
      </c>
      <c r="AC3" s="2">
        <f>MAX(0,AC2+($AB$126-AB3-CUSUM!F3))</f>
        <v>0</v>
      </c>
      <c r="AD3" s="14">
        <v>87</v>
      </c>
      <c r="AE3" s="2">
        <f>MAX(0,AE2+($AD$126-AD3-CUSUM!F3))</f>
        <v>0</v>
      </c>
      <c r="AF3" s="14">
        <v>92</v>
      </c>
      <c r="AG3" s="2">
        <f>MAX(0,AG2+($AF$126-AF3-CUSUM!F3))</f>
        <v>0</v>
      </c>
      <c r="AH3" s="14">
        <v>105</v>
      </c>
      <c r="AI3" s="2">
        <f>MAX(0,AI2+($AH$126-AH3-CUSUM!F3))</f>
        <v>0</v>
      </c>
      <c r="AJ3" s="14">
        <v>82</v>
      </c>
      <c r="AK3" s="2">
        <f>MAX(0,AK2+($AJ$126-AJ3-CUSUM!F3))</f>
        <v>0</v>
      </c>
      <c r="AL3" s="14">
        <v>90</v>
      </c>
      <c r="AM3" s="2">
        <f>MAX(0,AM2+($AL$126-AL3-CUSUM!F3))</f>
        <v>0</v>
      </c>
      <c r="AN3" s="14">
        <v>85</v>
      </c>
      <c r="AO3" s="2">
        <f>MAX(0,AO2+($AN$126-AN3-CUSUM!F3))</f>
        <v>0</v>
      </c>
    </row>
    <row r="4" spans="1:41" x14ac:dyDescent="0.2">
      <c r="A4" s="8">
        <v>43648</v>
      </c>
      <c r="B4" s="14">
        <v>97</v>
      </c>
      <c r="C4" s="2">
        <f>MAX(0,C3+($B$126-B4-CUSUM!F4))</f>
        <v>0</v>
      </c>
      <c r="D4" s="14">
        <v>90</v>
      </c>
      <c r="E4" s="2">
        <f>MAX(0,E3+($D$126-D4-CUSUM!F4))</f>
        <v>0</v>
      </c>
      <c r="F4" s="14">
        <v>88</v>
      </c>
      <c r="G4" s="2">
        <f>MAX(0,G3+($F$126-F4-CUSUM!F4))</f>
        <v>0</v>
      </c>
      <c r="H4" s="14">
        <v>82</v>
      </c>
      <c r="I4" s="2">
        <f>MAX(0,I3+($H$126-H4-CUSUM!F4))</f>
        <v>0</v>
      </c>
      <c r="J4" s="14">
        <v>91</v>
      </c>
      <c r="K4" s="2">
        <f>MAX(0,K3+($J$126-J4-CUSUM!F4))</f>
        <v>0</v>
      </c>
      <c r="L4" s="14">
        <v>87</v>
      </c>
      <c r="M4" s="2">
        <f>MAX(0,M3+($L$126-L4-CUSUM!F4))</f>
        <v>0</v>
      </c>
      <c r="N4" s="14">
        <v>90</v>
      </c>
      <c r="O4" s="2">
        <f>MAX(0,O3+($N$126-N4-CUSUM!F4))</f>
        <v>0</v>
      </c>
      <c r="P4" s="14">
        <v>81</v>
      </c>
      <c r="Q4" s="2">
        <f>MAX(0,Q3+($P$126-P4-CUSUM!F4))</f>
        <v>0</v>
      </c>
      <c r="R4" s="14">
        <v>81</v>
      </c>
      <c r="S4" s="2">
        <f>MAX(0,S3+($R$126-R4-CUSUM!F4))</f>
        <v>0</v>
      </c>
      <c r="T4" s="14">
        <v>89</v>
      </c>
      <c r="U4" s="2">
        <f>MAX(0,U3+($T$126-T4-CUSUM!F4))</f>
        <v>0</v>
      </c>
      <c r="V4" s="14">
        <v>93</v>
      </c>
      <c r="W4" s="2">
        <f>MAX(0,W3+($V$126-V4-CUSUM!F4))</f>
        <v>0</v>
      </c>
      <c r="X4" s="14">
        <v>85</v>
      </c>
      <c r="Y4" s="2">
        <f>MAX(0,Y3+($X$126-X4-CUSUM!F4))</f>
        <v>0</v>
      </c>
      <c r="Z4" s="14">
        <v>87</v>
      </c>
      <c r="AA4" s="2">
        <f>MAX(0,AA3+($Z$126-Z4-CUSUM!F4))</f>
        <v>0</v>
      </c>
      <c r="AB4" s="14">
        <v>90</v>
      </c>
      <c r="AC4" s="2">
        <f>MAX(0,AC3+($AB$126-AB4-CUSUM!F4))</f>
        <v>0</v>
      </c>
      <c r="AD4" s="14">
        <v>84</v>
      </c>
      <c r="AE4" s="2">
        <f>MAX(0,AE3+($AD$126-AD4-CUSUM!F4))</f>
        <v>0</v>
      </c>
      <c r="AF4" s="14">
        <v>94</v>
      </c>
      <c r="AG4" s="2">
        <f>MAX(0,AG3+($AF$126-AF4-CUSUM!F4))</f>
        <v>0</v>
      </c>
      <c r="AH4" s="14">
        <v>93</v>
      </c>
      <c r="AI4" s="2">
        <f>MAX(0,AI3+($AH$126-AH4-CUSUM!F4))</f>
        <v>0</v>
      </c>
      <c r="AJ4" s="14">
        <v>85</v>
      </c>
      <c r="AK4" s="2">
        <f>MAX(0,AK3+($AJ$126-AJ4-CUSUM!F4))</f>
        <v>0</v>
      </c>
      <c r="AL4" s="14">
        <v>93</v>
      </c>
      <c r="AM4" s="2">
        <f>MAX(0,AM3+($AL$126-AL4-CUSUM!F4))</f>
        <v>0</v>
      </c>
      <c r="AN4" s="14">
        <v>87</v>
      </c>
      <c r="AO4" s="2">
        <f>MAX(0,AO3+($AN$126-AN4-CUSUM!F4))</f>
        <v>0</v>
      </c>
    </row>
    <row r="5" spans="1:41" x14ac:dyDescent="0.2">
      <c r="A5" s="8">
        <v>43649</v>
      </c>
      <c r="B5" s="14">
        <v>97</v>
      </c>
      <c r="C5" s="2">
        <f>MAX(0,C4+($B$126-B5-CUSUM!F5))</f>
        <v>0</v>
      </c>
      <c r="D5" s="14">
        <v>93</v>
      </c>
      <c r="E5" s="2">
        <f>MAX(0,E4+($D$126-D5-CUSUM!F5))</f>
        <v>0</v>
      </c>
      <c r="F5" s="14">
        <v>91</v>
      </c>
      <c r="G5" s="2">
        <f>MAX(0,G4+($F$126-F5-CUSUM!F5))</f>
        <v>0</v>
      </c>
      <c r="H5" s="14">
        <v>87</v>
      </c>
      <c r="I5" s="2">
        <f>MAX(0,I4+($H$126-H5-CUSUM!F5))</f>
        <v>0</v>
      </c>
      <c r="J5" s="14">
        <v>93</v>
      </c>
      <c r="K5" s="2">
        <f>MAX(0,K4+($J$126-J5-CUSUM!F5))</f>
        <v>0</v>
      </c>
      <c r="L5" s="14">
        <v>87</v>
      </c>
      <c r="M5" s="2">
        <f>MAX(0,M4+($L$126-L5-CUSUM!F5))</f>
        <v>0</v>
      </c>
      <c r="N5" s="14">
        <v>87</v>
      </c>
      <c r="O5" s="2">
        <f>MAX(0,O4+($N$126-N5-CUSUM!F5))</f>
        <v>0</v>
      </c>
      <c r="P5" s="14">
        <v>87</v>
      </c>
      <c r="Q5" s="2">
        <f>MAX(0,Q4+($P$126-P5-CUSUM!F5))</f>
        <v>0</v>
      </c>
      <c r="R5" s="14">
        <v>86</v>
      </c>
      <c r="S5" s="2">
        <f>MAX(0,S4+($R$126-R5-CUSUM!F5))</f>
        <v>0</v>
      </c>
      <c r="T5" s="14">
        <v>86</v>
      </c>
      <c r="U5" s="2">
        <f>MAX(0,U4+($T$126-T5-CUSUM!F5))</f>
        <v>0</v>
      </c>
      <c r="V5" s="14">
        <v>93</v>
      </c>
      <c r="W5" s="2">
        <f>MAX(0,W4+($V$126-V5-CUSUM!F5))</f>
        <v>0</v>
      </c>
      <c r="X5" s="14">
        <v>82</v>
      </c>
      <c r="Y5" s="2">
        <f>MAX(0,Y4+($X$126-X5-CUSUM!F5))</f>
        <v>0</v>
      </c>
      <c r="Z5" s="14">
        <v>91</v>
      </c>
      <c r="AA5" s="2">
        <f>MAX(0,AA4+($Z$126-Z5-CUSUM!F5))</f>
        <v>0</v>
      </c>
      <c r="AB5" s="14">
        <v>89</v>
      </c>
      <c r="AC5" s="2">
        <f>MAX(0,AC4+($AB$126-AB5-CUSUM!F5))</f>
        <v>0</v>
      </c>
      <c r="AD5" s="14">
        <v>83</v>
      </c>
      <c r="AE5" s="2">
        <f>MAX(0,AE4+($AD$126-AD5-CUSUM!F5))</f>
        <v>0</v>
      </c>
      <c r="AF5" s="14">
        <v>95</v>
      </c>
      <c r="AG5" s="2">
        <f>MAX(0,AG4+($AF$126-AF5-CUSUM!F5))</f>
        <v>0</v>
      </c>
      <c r="AH5" s="14">
        <v>99</v>
      </c>
      <c r="AI5" s="2">
        <f>MAX(0,AI4+($AH$126-AH5-CUSUM!F5))</f>
        <v>0</v>
      </c>
      <c r="AJ5" s="14">
        <v>76</v>
      </c>
      <c r="AK5" s="2">
        <f>MAX(0,AK4+($AJ$126-AJ5-CUSUM!F5))</f>
        <v>0</v>
      </c>
      <c r="AL5" s="14">
        <v>87</v>
      </c>
      <c r="AM5" s="2">
        <f>MAX(0,AM4+($AL$126-AL5-CUSUM!F5))</f>
        <v>0</v>
      </c>
      <c r="AN5" s="14">
        <v>79</v>
      </c>
      <c r="AO5" s="2">
        <f>MAX(0,AO4+($AN$126-AN5-CUSUM!F5))</f>
        <v>0</v>
      </c>
    </row>
    <row r="6" spans="1:41" x14ac:dyDescent="0.2">
      <c r="A6" s="8">
        <v>43650</v>
      </c>
      <c r="B6" s="14">
        <v>90</v>
      </c>
      <c r="C6" s="2">
        <f>MAX(0,C5+($B$126-B6-CUSUM!F6))</f>
        <v>0</v>
      </c>
      <c r="D6" s="14">
        <v>91</v>
      </c>
      <c r="E6" s="2">
        <f>MAX(0,E5+($D$126-D6-CUSUM!F6))</f>
        <v>0</v>
      </c>
      <c r="F6" s="14">
        <v>91</v>
      </c>
      <c r="G6" s="2">
        <f>MAX(0,G5+($F$126-F6-CUSUM!F6))</f>
        <v>0</v>
      </c>
      <c r="H6" s="14">
        <v>88</v>
      </c>
      <c r="I6" s="2">
        <f>MAX(0,I5+($H$126-H6-CUSUM!F6))</f>
        <v>0</v>
      </c>
      <c r="J6" s="14">
        <v>95</v>
      </c>
      <c r="K6" s="2">
        <f>MAX(0,K5+($J$126-J6-CUSUM!F6))</f>
        <v>0</v>
      </c>
      <c r="L6" s="14">
        <v>84</v>
      </c>
      <c r="M6" s="2">
        <f>MAX(0,M5+($L$126-L6-CUSUM!F6))</f>
        <v>0</v>
      </c>
      <c r="N6" s="14">
        <v>89</v>
      </c>
      <c r="O6" s="2">
        <f>MAX(0,O5+($N$126-N6-CUSUM!F6))</f>
        <v>0</v>
      </c>
      <c r="P6" s="14">
        <v>86</v>
      </c>
      <c r="Q6" s="2">
        <f>MAX(0,Q5+($P$126-P6-CUSUM!F6))</f>
        <v>0</v>
      </c>
      <c r="R6" s="14">
        <v>88</v>
      </c>
      <c r="S6" s="2">
        <f>MAX(0,S5+($R$126-R6-CUSUM!F6))</f>
        <v>0</v>
      </c>
      <c r="T6" s="14">
        <v>86</v>
      </c>
      <c r="U6" s="2">
        <f>MAX(0,U5+($T$126-T6-CUSUM!F6))</f>
        <v>0</v>
      </c>
      <c r="V6" s="14">
        <v>91</v>
      </c>
      <c r="W6" s="2">
        <f>MAX(0,W5+($V$126-V6-CUSUM!F6))</f>
        <v>0</v>
      </c>
      <c r="X6" s="14">
        <v>86</v>
      </c>
      <c r="Y6" s="2">
        <f>MAX(0,Y5+($X$126-X6-CUSUM!F6))</f>
        <v>0</v>
      </c>
      <c r="Z6" s="14">
        <v>90</v>
      </c>
      <c r="AA6" s="2">
        <f>MAX(0,AA5+($Z$126-Z6-CUSUM!F6))</f>
        <v>0</v>
      </c>
      <c r="AB6" s="14">
        <v>91</v>
      </c>
      <c r="AC6" s="2">
        <f>MAX(0,AC5+($AB$126-AB6-CUSUM!F6))</f>
        <v>0</v>
      </c>
      <c r="AD6" s="14">
        <v>85</v>
      </c>
      <c r="AE6" s="2">
        <f>MAX(0,AE5+($AD$126-AD6-CUSUM!F6))</f>
        <v>2.2113821138211449</v>
      </c>
      <c r="AF6" s="14">
        <v>92</v>
      </c>
      <c r="AG6" s="2">
        <f>MAX(0,AG5+($AF$126-AF6-CUSUM!F6))</f>
        <v>0</v>
      </c>
      <c r="AH6" s="14">
        <v>98</v>
      </c>
      <c r="AI6" s="2">
        <f>MAX(0,AI5+($AH$126-AH6-CUSUM!F6))</f>
        <v>0</v>
      </c>
      <c r="AJ6" s="14">
        <v>77</v>
      </c>
      <c r="AK6" s="2">
        <f>MAX(0,AK5+($AJ$126-AJ6-CUSUM!F6))</f>
        <v>4.6666666666666714</v>
      </c>
      <c r="AL6" s="14">
        <v>84</v>
      </c>
      <c r="AM6" s="2">
        <f>MAX(0,AM5+($AL$126-AL6-CUSUM!F6))</f>
        <v>0</v>
      </c>
      <c r="AN6" s="14">
        <v>85</v>
      </c>
      <c r="AO6" s="2">
        <f>MAX(0,AO5+($AN$126-AN6-CUSUM!F6))</f>
        <v>0</v>
      </c>
    </row>
    <row r="7" spans="1:41" x14ac:dyDescent="0.2">
      <c r="A7" s="8">
        <v>43651</v>
      </c>
      <c r="B7" s="14">
        <v>89</v>
      </c>
      <c r="C7" s="2">
        <f>MAX(0,C6+($B$126-B7-CUSUM!F7))</f>
        <v>0</v>
      </c>
      <c r="D7" s="14">
        <v>84</v>
      </c>
      <c r="E7" s="2">
        <f>MAX(0,E6+($D$126-D7-CUSUM!F7))</f>
        <v>0</v>
      </c>
      <c r="F7" s="14">
        <v>91</v>
      </c>
      <c r="G7" s="2">
        <f>MAX(0,G6+($F$126-F7-CUSUM!F7))</f>
        <v>0</v>
      </c>
      <c r="H7" s="14">
        <v>90</v>
      </c>
      <c r="I7" s="2">
        <f>MAX(0,I6+($H$126-H7-CUSUM!F7))</f>
        <v>0</v>
      </c>
      <c r="J7" s="14">
        <v>96</v>
      </c>
      <c r="K7" s="2">
        <f>MAX(0,K6+($J$126-J7-CUSUM!F7))</f>
        <v>0</v>
      </c>
      <c r="L7" s="14">
        <v>86</v>
      </c>
      <c r="M7" s="2">
        <f>MAX(0,M6+($L$126-L7-CUSUM!F7))</f>
        <v>0</v>
      </c>
      <c r="N7" s="14">
        <v>93</v>
      </c>
      <c r="O7" s="2">
        <f>MAX(0,O6+($N$126-N7-CUSUM!F7))</f>
        <v>0</v>
      </c>
      <c r="P7" s="14">
        <v>80</v>
      </c>
      <c r="Q7" s="2">
        <f>MAX(0,Q6+($P$126-P7-CUSUM!F7))</f>
        <v>1.4796747967479718</v>
      </c>
      <c r="R7" s="14">
        <v>90</v>
      </c>
      <c r="S7" s="2">
        <f>MAX(0,S6+($R$126-R7-CUSUM!F7))</f>
        <v>0</v>
      </c>
      <c r="T7" s="14">
        <v>89</v>
      </c>
      <c r="U7" s="2">
        <f>MAX(0,U6+($T$126-T7-CUSUM!F7))</f>
        <v>0</v>
      </c>
      <c r="V7" s="14">
        <v>90</v>
      </c>
      <c r="W7" s="2">
        <f>MAX(0,W6+($V$126-V7-CUSUM!F7))</f>
        <v>0</v>
      </c>
      <c r="X7" s="14">
        <v>88</v>
      </c>
      <c r="Y7" s="2">
        <f>MAX(0,Y6+($X$126-X7-CUSUM!F7))</f>
        <v>0</v>
      </c>
      <c r="Z7" s="14">
        <v>88</v>
      </c>
      <c r="AA7" s="2">
        <f>MAX(0,AA6+($Z$126-Z7-CUSUM!F7))</f>
        <v>0</v>
      </c>
      <c r="AB7" s="14">
        <v>80</v>
      </c>
      <c r="AC7" s="2">
        <f>MAX(0,AC6+($AB$126-AB7-CUSUM!F7))</f>
        <v>0.99186991869918018</v>
      </c>
      <c r="AD7" s="14">
        <v>88</v>
      </c>
      <c r="AE7" s="2">
        <f>MAX(0,AE6+($AD$126-AD7-CUSUM!F7))</f>
        <v>1.4227642276422898</v>
      </c>
      <c r="AF7" s="14">
        <v>90</v>
      </c>
      <c r="AG7" s="2">
        <f>MAX(0,AG6+($AF$126-AF7-CUSUM!F7))</f>
        <v>0</v>
      </c>
      <c r="AH7" s="14">
        <v>100</v>
      </c>
      <c r="AI7" s="2">
        <f>MAX(0,AI6+($AH$126-AH7-CUSUM!F7))</f>
        <v>0</v>
      </c>
      <c r="AJ7" s="14">
        <v>83</v>
      </c>
      <c r="AK7" s="2">
        <f>MAX(0,AK6+($AJ$126-AJ7-CUSUM!F7))</f>
        <v>3.3333333333333428</v>
      </c>
      <c r="AL7" s="14">
        <v>86</v>
      </c>
      <c r="AM7" s="2">
        <f>MAX(0,AM6+($AL$126-AL7-CUSUM!F7))</f>
        <v>0</v>
      </c>
      <c r="AN7" s="14">
        <v>84</v>
      </c>
      <c r="AO7" s="2">
        <f>MAX(0,AO6+($AN$126-AN7-CUSUM!F7))</f>
        <v>0</v>
      </c>
    </row>
    <row r="8" spans="1:41" x14ac:dyDescent="0.2">
      <c r="A8" s="8">
        <v>43652</v>
      </c>
      <c r="B8" s="14">
        <v>93</v>
      </c>
      <c r="C8" s="2">
        <f>MAX(0,C7+($B$126-B8-CUSUM!F8))</f>
        <v>0</v>
      </c>
      <c r="D8" s="14">
        <v>84</v>
      </c>
      <c r="E8" s="2">
        <f>MAX(0,E7+($D$126-D8-CUSUM!F8))</f>
        <v>0</v>
      </c>
      <c r="F8" s="14">
        <v>89</v>
      </c>
      <c r="G8" s="2">
        <f>MAX(0,G7+($F$126-F8-CUSUM!F8))</f>
        <v>0</v>
      </c>
      <c r="H8" s="14">
        <v>91</v>
      </c>
      <c r="I8" s="2">
        <f>MAX(0,I7+($H$126-H8-CUSUM!F8))</f>
        <v>0</v>
      </c>
      <c r="J8" s="14">
        <v>96</v>
      </c>
      <c r="K8" s="2">
        <f>MAX(0,K7+($J$126-J8-CUSUM!F8))</f>
        <v>0</v>
      </c>
      <c r="L8" s="14">
        <v>87</v>
      </c>
      <c r="M8" s="2">
        <f>MAX(0,M7+($L$126-L8-CUSUM!F8))</f>
        <v>0</v>
      </c>
      <c r="N8" s="14">
        <v>93</v>
      </c>
      <c r="O8" s="2">
        <f>MAX(0,O7+($N$126-N8-CUSUM!F8))</f>
        <v>0</v>
      </c>
      <c r="P8" s="14">
        <v>84</v>
      </c>
      <c r="Q8" s="2">
        <f>MAX(0,Q7+($P$126-P8-CUSUM!F8))</f>
        <v>0</v>
      </c>
      <c r="R8" s="14">
        <v>90</v>
      </c>
      <c r="S8" s="2">
        <f>MAX(0,S7+($R$126-R8-CUSUM!F8))</f>
        <v>0</v>
      </c>
      <c r="T8" s="14">
        <v>82</v>
      </c>
      <c r="U8" s="2">
        <f>MAX(0,U7+($T$126-T8-CUSUM!F8))</f>
        <v>1.3577235772357739</v>
      </c>
      <c r="V8" s="14">
        <v>81</v>
      </c>
      <c r="W8" s="2">
        <f>MAX(0,W7+($V$126-V8-CUSUM!F8))</f>
        <v>2.0487804878048763</v>
      </c>
      <c r="X8" s="14">
        <v>87</v>
      </c>
      <c r="Y8" s="2">
        <f>MAX(0,Y7+($X$126-X8-CUSUM!F8))</f>
        <v>0</v>
      </c>
      <c r="Z8" s="14">
        <v>82</v>
      </c>
      <c r="AA8" s="2">
        <f>MAX(0,AA7+($Z$126-Z8-CUSUM!F8))</f>
        <v>0.51219512195122263</v>
      </c>
      <c r="AB8" s="14">
        <v>87</v>
      </c>
      <c r="AC8" s="2">
        <f>MAX(0,AC7+($AB$126-AB8-CUSUM!F8))</f>
        <v>0</v>
      </c>
      <c r="AD8" s="14">
        <v>89</v>
      </c>
      <c r="AE8" s="2">
        <f>MAX(0,AE7+($AD$126-AD8-CUSUM!F8))</f>
        <v>0</v>
      </c>
      <c r="AF8" s="14">
        <v>90</v>
      </c>
      <c r="AG8" s="2">
        <f>MAX(0,AG7+($AF$126-AF8-CUSUM!F8))</f>
        <v>0</v>
      </c>
      <c r="AH8" s="14">
        <v>98</v>
      </c>
      <c r="AI8" s="2">
        <f>MAX(0,AI7+($AH$126-AH8-CUSUM!F8))</f>
        <v>0</v>
      </c>
      <c r="AJ8" s="14">
        <v>83</v>
      </c>
      <c r="AK8" s="2">
        <f>MAX(0,AK7+($AJ$126-AJ8-CUSUM!F8))</f>
        <v>2.0000000000000142</v>
      </c>
      <c r="AL8" s="14">
        <v>87</v>
      </c>
      <c r="AM8" s="2">
        <f>MAX(0,AM7+($AL$126-AL8-CUSUM!F8))</f>
        <v>0</v>
      </c>
      <c r="AN8" s="14">
        <v>84</v>
      </c>
      <c r="AO8" s="2">
        <f>MAX(0,AO7+($AN$126-AN8-CUSUM!F8))</f>
        <v>0</v>
      </c>
    </row>
    <row r="9" spans="1:41" x14ac:dyDescent="0.2">
      <c r="A9" s="8">
        <v>43653</v>
      </c>
      <c r="B9" s="14">
        <v>93</v>
      </c>
      <c r="C9" s="2">
        <f>MAX(0,C8+($B$126-B9-CUSUM!F9))</f>
        <v>0</v>
      </c>
      <c r="D9" s="14">
        <v>75</v>
      </c>
      <c r="E9" s="2">
        <f>MAX(0,E8+($D$126-D9-CUSUM!F9))</f>
        <v>6.674796747967477</v>
      </c>
      <c r="F9" s="14">
        <v>93</v>
      </c>
      <c r="G9" s="2">
        <f>MAX(0,G8+($F$126-F9-CUSUM!F9))</f>
        <v>0</v>
      </c>
      <c r="H9" s="14">
        <v>82</v>
      </c>
      <c r="I9" s="2">
        <f>MAX(0,I8+($H$126-H9-CUSUM!F9))</f>
        <v>1.3577235772357739</v>
      </c>
      <c r="J9" s="14">
        <v>96</v>
      </c>
      <c r="K9" s="2">
        <f>MAX(0,K8+($J$126-J9-CUSUM!F9))</f>
        <v>0</v>
      </c>
      <c r="L9" s="14">
        <v>87</v>
      </c>
      <c r="M9" s="2">
        <f>MAX(0,M8+($L$126-L9-CUSUM!F9))</f>
        <v>0</v>
      </c>
      <c r="N9" s="14">
        <v>89</v>
      </c>
      <c r="O9" s="2">
        <f>MAX(0,O8+($N$126-N9-CUSUM!F9))</f>
        <v>0</v>
      </c>
      <c r="P9" s="14">
        <v>87</v>
      </c>
      <c r="Q9" s="2">
        <f>MAX(0,Q8+($P$126-P9-CUSUM!F9))</f>
        <v>0</v>
      </c>
      <c r="R9" s="14">
        <v>89</v>
      </c>
      <c r="S9" s="2">
        <f>MAX(0,S8+($R$126-R9-CUSUM!F9))</f>
        <v>0</v>
      </c>
      <c r="T9" s="14">
        <v>76</v>
      </c>
      <c r="U9" s="2">
        <f>MAX(0,U8+($T$126-T9-CUSUM!F9))</f>
        <v>8.7154471544715477</v>
      </c>
      <c r="V9" s="14">
        <v>80</v>
      </c>
      <c r="W9" s="2">
        <f>MAX(0,W8+($V$126-V9-CUSUM!F9))</f>
        <v>5.0975609756097526</v>
      </c>
      <c r="X9" s="14">
        <v>82</v>
      </c>
      <c r="Y9" s="2">
        <f>MAX(0,Y8+($X$126-X9-CUSUM!F9))</f>
        <v>3.3983739837398304</v>
      </c>
      <c r="Z9" s="14">
        <v>88</v>
      </c>
      <c r="AA9" s="2">
        <f>MAX(0,AA8+($Z$126-Z9-CUSUM!F9))</f>
        <v>0</v>
      </c>
      <c r="AB9" s="14">
        <v>86</v>
      </c>
      <c r="AC9" s="2">
        <f>MAX(0,AC8+($AB$126-AB9-CUSUM!F9))</f>
        <v>0</v>
      </c>
      <c r="AD9" s="14">
        <v>94</v>
      </c>
      <c r="AE9" s="2">
        <f>MAX(0,AE8+($AD$126-AD9-CUSUM!F9))</f>
        <v>0</v>
      </c>
      <c r="AF9" s="14">
        <v>94</v>
      </c>
      <c r="AG9" s="2">
        <f>MAX(0,AG8+($AF$126-AF9-CUSUM!F9))</f>
        <v>0</v>
      </c>
      <c r="AH9" s="14">
        <v>93</v>
      </c>
      <c r="AI9" s="2">
        <f>MAX(0,AI8+($AH$126-AH9-CUSUM!F9))</f>
        <v>0</v>
      </c>
      <c r="AJ9" s="14">
        <v>79</v>
      </c>
      <c r="AK9" s="2">
        <f>MAX(0,AK8+($AJ$126-AJ9-CUSUM!F9))</f>
        <v>4.6666666666666856</v>
      </c>
      <c r="AL9" s="14">
        <v>89</v>
      </c>
      <c r="AM9" s="2">
        <f>MAX(0,AM8+($AL$126-AL9-CUSUM!F9))</f>
        <v>0</v>
      </c>
      <c r="AN9" s="14">
        <v>90</v>
      </c>
      <c r="AO9" s="2">
        <f>MAX(0,AO8+($AN$126-AN9-CUSUM!F9))</f>
        <v>0</v>
      </c>
    </row>
    <row r="10" spans="1:41" x14ac:dyDescent="0.2">
      <c r="A10" s="8">
        <v>43654</v>
      </c>
      <c r="B10" s="14">
        <v>91</v>
      </c>
      <c r="C10" s="2">
        <f>MAX(0,C9+($B$126-B10-CUSUM!F10))</f>
        <v>0</v>
      </c>
      <c r="D10" s="14">
        <v>87</v>
      </c>
      <c r="E10" s="2">
        <f>MAX(0,E9+($D$126-D10-CUSUM!F10))</f>
        <v>1.349593495934954</v>
      </c>
      <c r="F10" s="14">
        <v>95</v>
      </c>
      <c r="G10" s="2">
        <f>MAX(0,G9+($F$126-F10-CUSUM!F10))</f>
        <v>0</v>
      </c>
      <c r="H10" s="14">
        <v>86</v>
      </c>
      <c r="I10" s="2">
        <f>MAX(0,I9+($H$126-H10-CUSUM!F10))</f>
        <v>0</v>
      </c>
      <c r="J10" s="14">
        <v>91</v>
      </c>
      <c r="K10" s="2">
        <f>MAX(0,K9+($J$126-J10-CUSUM!F10))</f>
        <v>0</v>
      </c>
      <c r="L10" s="14">
        <v>89</v>
      </c>
      <c r="M10" s="2">
        <f>MAX(0,M9+($L$126-L10-CUSUM!F10))</f>
        <v>0</v>
      </c>
      <c r="N10" s="14">
        <v>89</v>
      </c>
      <c r="O10" s="2">
        <f>MAX(0,O9+($N$126-N10-CUSUM!F10))</f>
        <v>0</v>
      </c>
      <c r="P10" s="14">
        <v>90</v>
      </c>
      <c r="Q10" s="2">
        <f>MAX(0,Q9+($P$126-P10-CUSUM!F10))</f>
        <v>0</v>
      </c>
      <c r="R10" s="14">
        <v>87</v>
      </c>
      <c r="S10" s="2">
        <f>MAX(0,S9+($R$126-R10-CUSUM!F10))</f>
        <v>0</v>
      </c>
      <c r="T10" s="14">
        <v>88</v>
      </c>
      <c r="U10" s="2">
        <f>MAX(0,U9+($T$126-T10-CUSUM!F10))</f>
        <v>4.0731707317073216</v>
      </c>
      <c r="V10" s="14">
        <v>82</v>
      </c>
      <c r="W10" s="2">
        <f>MAX(0,W9+($V$126-V10-CUSUM!F10))</f>
        <v>6.1463414634146289</v>
      </c>
      <c r="X10" s="14">
        <v>82</v>
      </c>
      <c r="Y10" s="2">
        <f>MAX(0,Y9+($X$126-X10-CUSUM!F10))</f>
        <v>6.7967479674796607</v>
      </c>
      <c r="Z10" s="14">
        <v>90</v>
      </c>
      <c r="AA10" s="2">
        <f>MAX(0,AA9+($Z$126-Z10-CUSUM!F10))</f>
        <v>0</v>
      </c>
      <c r="AB10" s="14">
        <v>82</v>
      </c>
      <c r="AC10" s="2">
        <f>MAX(0,AC9+($AB$126-AB10-CUSUM!F10))</f>
        <v>0</v>
      </c>
      <c r="AD10" s="14">
        <v>97</v>
      </c>
      <c r="AE10" s="2">
        <f>MAX(0,AE9+($AD$126-AD10-CUSUM!F10))</f>
        <v>0</v>
      </c>
      <c r="AF10" s="14">
        <v>94</v>
      </c>
      <c r="AG10" s="2">
        <f>MAX(0,AG9+($AF$126-AF10-CUSUM!F10))</f>
        <v>0</v>
      </c>
      <c r="AH10" s="14">
        <v>95</v>
      </c>
      <c r="AI10" s="2">
        <f>MAX(0,AI9+($AH$126-AH10-CUSUM!F10))</f>
        <v>0</v>
      </c>
      <c r="AJ10" s="14">
        <v>88</v>
      </c>
      <c r="AK10" s="2">
        <f>MAX(0,AK9+($AJ$126-AJ10-CUSUM!F10))</f>
        <v>0</v>
      </c>
      <c r="AL10" s="14">
        <v>90</v>
      </c>
      <c r="AM10" s="2">
        <f>MAX(0,AM9+($AL$126-AL10-CUSUM!F10))</f>
        <v>0</v>
      </c>
      <c r="AN10" s="14">
        <v>90</v>
      </c>
      <c r="AO10" s="2">
        <f>MAX(0,AO9+($AN$126-AN10-CUSUM!F10))</f>
        <v>0</v>
      </c>
    </row>
    <row r="11" spans="1:41" x14ac:dyDescent="0.2">
      <c r="A11" s="8">
        <v>43655</v>
      </c>
      <c r="B11" s="14">
        <v>93</v>
      </c>
      <c r="C11" s="2">
        <f>MAX(0,C10+($B$126-B11-CUSUM!F11))</f>
        <v>0</v>
      </c>
      <c r="D11" s="14">
        <v>84</v>
      </c>
      <c r="E11" s="2">
        <f>MAX(0,E10+($D$126-D11-CUSUM!F11))</f>
        <v>0</v>
      </c>
      <c r="F11" s="14">
        <v>95</v>
      </c>
      <c r="G11" s="2">
        <f>MAX(0,G10+($F$126-F11-CUSUM!F11))</f>
        <v>0</v>
      </c>
      <c r="H11" s="14">
        <v>87</v>
      </c>
      <c r="I11" s="2">
        <f>MAX(0,I10+($H$126-H11-CUSUM!F11))</f>
        <v>0</v>
      </c>
      <c r="J11" s="14">
        <v>96</v>
      </c>
      <c r="K11" s="2">
        <f>MAX(0,K10+($J$126-J11-CUSUM!F11))</f>
        <v>0</v>
      </c>
      <c r="L11" s="14">
        <v>91</v>
      </c>
      <c r="M11" s="2">
        <f>MAX(0,M10+($L$126-L11-CUSUM!F11))</f>
        <v>0</v>
      </c>
      <c r="N11" s="14">
        <v>90</v>
      </c>
      <c r="O11" s="2">
        <f>MAX(0,O10+($N$126-N11-CUSUM!F11))</f>
        <v>0</v>
      </c>
      <c r="P11" s="14">
        <v>89</v>
      </c>
      <c r="Q11" s="2">
        <f>MAX(0,Q10+($P$126-P11-CUSUM!F11))</f>
        <v>0</v>
      </c>
      <c r="R11" s="14">
        <v>88</v>
      </c>
      <c r="S11" s="2">
        <f>MAX(0,S10+($R$126-R11-CUSUM!F11))</f>
        <v>0</v>
      </c>
      <c r="T11" s="14">
        <v>89</v>
      </c>
      <c r="U11" s="2">
        <f>MAX(0,U10+($T$126-T11-CUSUM!F11))</f>
        <v>0</v>
      </c>
      <c r="V11" s="14">
        <v>84</v>
      </c>
      <c r="W11" s="2">
        <f>MAX(0,W10+($V$126-V11-CUSUM!F11))</f>
        <v>5.1951219512195053</v>
      </c>
      <c r="X11" s="14">
        <v>89</v>
      </c>
      <c r="Y11" s="2">
        <f>MAX(0,Y10+($X$126-X11-CUSUM!F11))</f>
        <v>3.1951219512194911</v>
      </c>
      <c r="Z11" s="14">
        <v>89</v>
      </c>
      <c r="AA11" s="2">
        <f>MAX(0,AA10+($Z$126-Z11-CUSUM!F11))</f>
        <v>0</v>
      </c>
      <c r="AB11" s="14">
        <v>84</v>
      </c>
      <c r="AC11" s="2">
        <f>MAX(0,AC10+($AB$126-AB11-CUSUM!F11))</f>
        <v>0</v>
      </c>
      <c r="AD11" s="14">
        <v>96</v>
      </c>
      <c r="AE11" s="2">
        <f>MAX(0,AE10+($AD$126-AD11-CUSUM!F11))</f>
        <v>0</v>
      </c>
      <c r="AF11" s="14">
        <v>91</v>
      </c>
      <c r="AG11" s="2">
        <f>MAX(0,AG10+($AF$126-AF11-CUSUM!F11))</f>
        <v>0</v>
      </c>
      <c r="AH11" s="14">
        <v>97</v>
      </c>
      <c r="AI11" s="2">
        <f>MAX(0,AI10+($AH$126-AH11-CUSUM!F11))</f>
        <v>0</v>
      </c>
      <c r="AJ11" s="14">
        <v>88</v>
      </c>
      <c r="AK11" s="2">
        <f>MAX(0,AK10+($AJ$126-AJ11-CUSUM!F11))</f>
        <v>0</v>
      </c>
      <c r="AL11" s="14">
        <v>90</v>
      </c>
      <c r="AM11" s="2">
        <f>MAX(0,AM10+($AL$126-AL11-CUSUM!F11))</f>
        <v>0</v>
      </c>
      <c r="AN11" s="14">
        <v>91</v>
      </c>
      <c r="AO11" s="2">
        <f>MAX(0,AO10+($AN$126-AN11-CUSUM!F11))</f>
        <v>0</v>
      </c>
    </row>
    <row r="12" spans="1:41" x14ac:dyDescent="0.2">
      <c r="A12" s="8">
        <v>43656</v>
      </c>
      <c r="B12" s="14">
        <v>93</v>
      </c>
      <c r="C12" s="2">
        <f>MAX(0,C11+($B$126-B12-CUSUM!F12))</f>
        <v>0</v>
      </c>
      <c r="D12" s="14">
        <v>87</v>
      </c>
      <c r="E12" s="2">
        <f>MAX(0,E11+($D$126-D12-CUSUM!F12))</f>
        <v>0</v>
      </c>
      <c r="F12" s="14">
        <v>91</v>
      </c>
      <c r="G12" s="2">
        <f>MAX(0,G11+($F$126-F12-CUSUM!F12))</f>
        <v>0</v>
      </c>
      <c r="H12" s="14">
        <v>87</v>
      </c>
      <c r="I12" s="2">
        <f>MAX(0,I11+($H$126-H12-CUSUM!F12))</f>
        <v>0</v>
      </c>
      <c r="J12" s="14">
        <v>99</v>
      </c>
      <c r="K12" s="2">
        <f>MAX(0,K11+($J$126-J12-CUSUM!F12))</f>
        <v>0</v>
      </c>
      <c r="L12" s="14">
        <v>87</v>
      </c>
      <c r="M12" s="2">
        <f>MAX(0,M11+($L$126-L12-CUSUM!F12))</f>
        <v>0</v>
      </c>
      <c r="N12" s="14">
        <v>91</v>
      </c>
      <c r="O12" s="2">
        <f>MAX(0,O11+($N$126-N12-CUSUM!F12))</f>
        <v>0</v>
      </c>
      <c r="P12" s="14">
        <v>84</v>
      </c>
      <c r="Q12" s="2">
        <f>MAX(0,Q11+($P$126-P12-CUSUM!F12))</f>
        <v>0</v>
      </c>
      <c r="R12" s="14">
        <v>89</v>
      </c>
      <c r="S12" s="2">
        <f>MAX(0,S11+($R$126-R12-CUSUM!F12))</f>
        <v>0</v>
      </c>
      <c r="T12" s="14">
        <v>78</v>
      </c>
      <c r="U12" s="2">
        <f>MAX(0,U11+($T$126-T12-CUSUM!F12))</f>
        <v>5.3577235772357739</v>
      </c>
      <c r="V12" s="14">
        <v>84</v>
      </c>
      <c r="W12" s="2">
        <f>MAX(0,W11+($V$126-V12-CUSUM!F12))</f>
        <v>4.2439024390243816</v>
      </c>
      <c r="X12" s="14">
        <v>86</v>
      </c>
      <c r="Y12" s="2">
        <f>MAX(0,Y11+($X$126-X12-CUSUM!F12))</f>
        <v>2.5934959349593214</v>
      </c>
      <c r="Z12" s="14">
        <v>87</v>
      </c>
      <c r="AA12" s="2">
        <f>MAX(0,AA11+($Z$126-Z12-CUSUM!F12))</f>
        <v>0</v>
      </c>
      <c r="AB12" s="14">
        <v>84</v>
      </c>
      <c r="AC12" s="2">
        <f>MAX(0,AC11+($AB$126-AB12-CUSUM!F12))</f>
        <v>0</v>
      </c>
      <c r="AD12" s="14">
        <v>90</v>
      </c>
      <c r="AE12" s="2">
        <f>MAX(0,AE11+($AD$126-AD12-CUSUM!F12))</f>
        <v>0</v>
      </c>
      <c r="AF12" s="14">
        <v>92</v>
      </c>
      <c r="AG12" s="2">
        <f>MAX(0,AG11+($AF$126-AF12-CUSUM!F12))</f>
        <v>0</v>
      </c>
      <c r="AH12" s="14">
        <v>95</v>
      </c>
      <c r="AI12" s="2">
        <f>MAX(0,AI11+($AH$126-AH12-CUSUM!F12))</f>
        <v>0</v>
      </c>
      <c r="AJ12" s="14">
        <v>87</v>
      </c>
      <c r="AK12" s="2">
        <f>MAX(0,AK11+($AJ$126-AJ12-CUSUM!F12))</f>
        <v>0</v>
      </c>
      <c r="AL12" s="14">
        <v>87</v>
      </c>
      <c r="AM12" s="2">
        <f>MAX(0,AM11+($AL$126-AL12-CUSUM!F12))</f>
        <v>0</v>
      </c>
      <c r="AN12" s="14">
        <v>93</v>
      </c>
      <c r="AO12" s="2">
        <f>MAX(0,AO11+($AN$126-AN12-CUSUM!F12))</f>
        <v>0</v>
      </c>
    </row>
    <row r="13" spans="1:41" x14ac:dyDescent="0.2">
      <c r="A13" s="8">
        <v>43657</v>
      </c>
      <c r="B13" s="14">
        <v>90</v>
      </c>
      <c r="C13" s="2">
        <f>MAX(0,C12+($B$126-B13-CUSUM!F13))</f>
        <v>0</v>
      </c>
      <c r="D13" s="14">
        <v>84</v>
      </c>
      <c r="E13" s="2">
        <f>MAX(0,E12+($D$126-D13-CUSUM!F13))</f>
        <v>0</v>
      </c>
      <c r="F13" s="14">
        <v>91</v>
      </c>
      <c r="G13" s="2">
        <f>MAX(0,G12+($F$126-F13-CUSUM!F13))</f>
        <v>0</v>
      </c>
      <c r="H13" s="14">
        <v>82</v>
      </c>
      <c r="I13" s="2">
        <f>MAX(0,I12+($H$126-H13-CUSUM!F13))</f>
        <v>1.3577235772357739</v>
      </c>
      <c r="J13" s="14">
        <v>96</v>
      </c>
      <c r="K13" s="2">
        <f>MAX(0,K12+($J$126-J13-CUSUM!F13))</f>
        <v>0</v>
      </c>
      <c r="L13" s="14">
        <v>90</v>
      </c>
      <c r="M13" s="2">
        <f>MAX(0,M12+($L$126-L13-CUSUM!F13))</f>
        <v>0</v>
      </c>
      <c r="N13" s="14">
        <v>84</v>
      </c>
      <c r="O13" s="2">
        <f>MAX(0,O12+($N$126-N13-CUSUM!F13))</f>
        <v>0</v>
      </c>
      <c r="P13" s="14">
        <v>84</v>
      </c>
      <c r="Q13" s="2">
        <f>MAX(0,Q12+($P$126-P13-CUSUM!F13))</f>
        <v>0</v>
      </c>
      <c r="R13" s="14">
        <v>90</v>
      </c>
      <c r="S13" s="2">
        <f>MAX(0,S12+($R$126-R13-CUSUM!F13))</f>
        <v>0</v>
      </c>
      <c r="T13" s="14">
        <v>83</v>
      </c>
      <c r="U13" s="2">
        <f>MAX(0,U12+($T$126-T13-CUSUM!F13))</f>
        <v>5.7154471544715477</v>
      </c>
      <c r="V13" s="14">
        <v>90</v>
      </c>
      <c r="W13" s="2">
        <f>MAX(0,W12+($V$126-V13-CUSUM!F13))</f>
        <v>0</v>
      </c>
      <c r="X13" s="14">
        <v>85</v>
      </c>
      <c r="Y13" s="2">
        <f>MAX(0,Y12+($X$126-X13-CUSUM!F13))</f>
        <v>2.9918699186991518</v>
      </c>
      <c r="Z13" s="14">
        <v>89</v>
      </c>
      <c r="AA13" s="2">
        <f>MAX(0,AA12+($Z$126-Z13-CUSUM!F13))</f>
        <v>0</v>
      </c>
      <c r="AB13" s="14">
        <v>86</v>
      </c>
      <c r="AC13" s="2">
        <f>MAX(0,AC12+($AB$126-AB13-CUSUM!F13))</f>
        <v>0</v>
      </c>
      <c r="AD13" s="14">
        <v>93</v>
      </c>
      <c r="AE13" s="2">
        <f>MAX(0,AE12+($AD$126-AD13-CUSUM!F13))</f>
        <v>0</v>
      </c>
      <c r="AF13" s="14">
        <v>95</v>
      </c>
      <c r="AG13" s="2">
        <f>MAX(0,AG12+($AF$126-AF13-CUSUM!F13))</f>
        <v>0</v>
      </c>
      <c r="AH13" s="14">
        <v>90</v>
      </c>
      <c r="AI13" s="2">
        <f>MAX(0,AI12+($AH$126-AH13-CUSUM!F13))</f>
        <v>0</v>
      </c>
      <c r="AJ13" s="14">
        <v>80</v>
      </c>
      <c r="AK13" s="2">
        <f>MAX(0,AK12+($AJ$126-AJ13-CUSUM!F13))</f>
        <v>1.6666666666666714</v>
      </c>
      <c r="AL13" s="14">
        <v>85</v>
      </c>
      <c r="AM13" s="2">
        <f>MAX(0,AM12+($AL$126-AL13-CUSUM!F13))</f>
        <v>0</v>
      </c>
      <c r="AN13" s="14">
        <v>92</v>
      </c>
      <c r="AO13" s="2">
        <f>MAX(0,AO12+($AN$126-AN13-CUSUM!F13))</f>
        <v>0</v>
      </c>
    </row>
    <row r="14" spans="1:41" x14ac:dyDescent="0.2">
      <c r="A14" s="8">
        <v>43658</v>
      </c>
      <c r="B14" s="14">
        <v>91</v>
      </c>
      <c r="C14" s="2">
        <f>MAX(0,C13+($B$126-B14-CUSUM!F14))</f>
        <v>0</v>
      </c>
      <c r="D14" s="14">
        <v>88</v>
      </c>
      <c r="E14" s="2">
        <f>MAX(0,E13+($D$126-D14-CUSUM!F14))</f>
        <v>0</v>
      </c>
      <c r="F14" s="14">
        <v>86</v>
      </c>
      <c r="G14" s="2">
        <f>MAX(0,G13+($F$126-F14-CUSUM!F14))</f>
        <v>0</v>
      </c>
      <c r="H14" s="14">
        <v>77</v>
      </c>
      <c r="I14" s="2">
        <f>MAX(0,I13+($H$126-H14-CUSUM!F14))</f>
        <v>7.7154471544715477</v>
      </c>
      <c r="J14" s="14">
        <v>93</v>
      </c>
      <c r="K14" s="2">
        <f>MAX(0,K13+($J$126-J14-CUSUM!F14))</f>
        <v>0</v>
      </c>
      <c r="L14" s="14">
        <v>90</v>
      </c>
      <c r="M14" s="2">
        <f>MAX(0,M13+($L$126-L14-CUSUM!F14))</f>
        <v>0</v>
      </c>
      <c r="N14" s="14">
        <v>77</v>
      </c>
      <c r="O14" s="2">
        <f>MAX(0,O13+($N$126-N14-CUSUM!F14))</f>
        <v>6.58536585365853</v>
      </c>
      <c r="P14" s="14">
        <v>86</v>
      </c>
      <c r="Q14" s="2">
        <f>MAX(0,Q13+($P$126-P14-CUSUM!F14))</f>
        <v>0</v>
      </c>
      <c r="R14" s="14">
        <v>89</v>
      </c>
      <c r="S14" s="2">
        <f>MAX(0,S13+($R$126-R14-CUSUM!F14))</f>
        <v>0</v>
      </c>
      <c r="T14" s="14">
        <v>86</v>
      </c>
      <c r="U14" s="2">
        <f>MAX(0,U13+($T$126-T14-CUSUM!F14))</f>
        <v>3.0731707317073216</v>
      </c>
      <c r="V14" s="14">
        <v>91</v>
      </c>
      <c r="W14" s="2">
        <f>MAX(0,W13+($V$126-V14-CUSUM!F14))</f>
        <v>0</v>
      </c>
      <c r="X14" s="14">
        <v>87</v>
      </c>
      <c r="Y14" s="2">
        <f>MAX(0,Y13+($X$126-X14-CUSUM!F14))</f>
        <v>1.3902439024389821</v>
      </c>
      <c r="Z14" s="14">
        <v>93</v>
      </c>
      <c r="AA14" s="2">
        <f>MAX(0,AA13+($Z$126-Z14-CUSUM!F14))</f>
        <v>0</v>
      </c>
      <c r="AB14" s="14">
        <v>90</v>
      </c>
      <c r="AC14" s="2">
        <f>MAX(0,AC13+($AB$126-AB14-CUSUM!F14))</f>
        <v>0</v>
      </c>
      <c r="AD14" s="14">
        <v>90</v>
      </c>
      <c r="AE14" s="2">
        <f>MAX(0,AE13+($AD$126-AD14-CUSUM!F14))</f>
        <v>0</v>
      </c>
      <c r="AF14" s="14">
        <v>95</v>
      </c>
      <c r="AG14" s="2">
        <f>MAX(0,AG13+($AF$126-AF14-CUSUM!F14))</f>
        <v>0</v>
      </c>
      <c r="AH14" s="14">
        <v>84</v>
      </c>
      <c r="AI14" s="2">
        <f>MAX(0,AI13+($AH$126-AH14-CUSUM!F14))</f>
        <v>0.65040650406504597</v>
      </c>
      <c r="AJ14" s="14">
        <v>87</v>
      </c>
      <c r="AK14" s="2">
        <f>MAX(0,AK13+($AJ$126-AJ14-CUSUM!F14))</f>
        <v>0</v>
      </c>
      <c r="AL14" s="14">
        <v>90</v>
      </c>
      <c r="AM14" s="2">
        <f>MAX(0,AM13+($AL$126-AL14-CUSUM!F14))</f>
        <v>0</v>
      </c>
      <c r="AN14" s="14">
        <v>93</v>
      </c>
      <c r="AO14" s="2">
        <f>MAX(0,AO13+($AN$126-AN14-CUSUM!F14))</f>
        <v>0</v>
      </c>
    </row>
    <row r="15" spans="1:41" x14ac:dyDescent="0.2">
      <c r="A15" s="8">
        <v>43659</v>
      </c>
      <c r="B15" s="14">
        <v>93</v>
      </c>
      <c r="C15" s="2">
        <f>MAX(0,C14+($B$126-B15-CUSUM!F15))</f>
        <v>0</v>
      </c>
      <c r="D15" s="14">
        <v>86</v>
      </c>
      <c r="E15" s="2">
        <f>MAX(0,E14+($D$126-D15-CUSUM!F15))</f>
        <v>0</v>
      </c>
      <c r="F15" s="14">
        <v>88</v>
      </c>
      <c r="G15" s="2">
        <f>MAX(0,G14+($F$126-F15-CUSUM!F15))</f>
        <v>0</v>
      </c>
      <c r="H15" s="14">
        <v>73</v>
      </c>
      <c r="I15" s="2">
        <f>MAX(0,I14+($H$126-H15-CUSUM!F15))</f>
        <v>18.073170731707322</v>
      </c>
      <c r="J15" s="14">
        <v>91</v>
      </c>
      <c r="K15" s="2">
        <f>MAX(0,K14+($J$126-J15-CUSUM!F15))</f>
        <v>0</v>
      </c>
      <c r="L15" s="14">
        <v>86</v>
      </c>
      <c r="M15" s="2">
        <f>MAX(0,M14+($L$126-L15-CUSUM!F15))</f>
        <v>0</v>
      </c>
      <c r="N15" s="14">
        <v>82</v>
      </c>
      <c r="O15" s="2">
        <f>MAX(0,O14+($N$126-N15-CUSUM!F15))</f>
        <v>8.17073170731706</v>
      </c>
      <c r="P15" s="14">
        <v>87</v>
      </c>
      <c r="Q15" s="2">
        <f>MAX(0,Q14+($P$126-P15-CUSUM!F15))</f>
        <v>0</v>
      </c>
      <c r="R15" s="14">
        <v>91</v>
      </c>
      <c r="S15" s="2">
        <f>MAX(0,S14+($R$126-R15-CUSUM!F15))</f>
        <v>0</v>
      </c>
      <c r="T15" s="14">
        <v>84</v>
      </c>
      <c r="U15" s="2">
        <f>MAX(0,U14+($T$126-T15-CUSUM!F15))</f>
        <v>2.4308943089430954</v>
      </c>
      <c r="V15" s="14">
        <v>91</v>
      </c>
      <c r="W15" s="2">
        <f>MAX(0,W14+($V$126-V15-CUSUM!F15))</f>
        <v>0</v>
      </c>
      <c r="X15" s="14">
        <v>86</v>
      </c>
      <c r="Y15" s="2">
        <f>MAX(0,Y14+($X$126-X15-CUSUM!F15))</f>
        <v>0.78861788617881246</v>
      </c>
      <c r="Z15" s="14">
        <v>85</v>
      </c>
      <c r="AA15" s="2">
        <f>MAX(0,AA14+($Z$126-Z15-CUSUM!F15))</f>
        <v>0</v>
      </c>
      <c r="AB15" s="14">
        <v>84</v>
      </c>
      <c r="AC15" s="2">
        <f>MAX(0,AC14+($AB$126-AB15-CUSUM!F15))</f>
        <v>0</v>
      </c>
      <c r="AD15" s="14">
        <v>91</v>
      </c>
      <c r="AE15" s="2">
        <f>MAX(0,AE14+($AD$126-AD15-CUSUM!F15))</f>
        <v>0</v>
      </c>
      <c r="AF15" s="14">
        <v>97</v>
      </c>
      <c r="AG15" s="2">
        <f>MAX(0,AG14+($AF$126-AF15-CUSUM!F15))</f>
        <v>0</v>
      </c>
      <c r="AH15" s="14">
        <v>90</v>
      </c>
      <c r="AI15" s="2">
        <f>MAX(0,AI14+($AH$126-AH15-CUSUM!F15))</f>
        <v>0</v>
      </c>
      <c r="AJ15" s="14">
        <v>78</v>
      </c>
      <c r="AK15" s="2">
        <f>MAX(0,AK14+($AJ$126-AJ15-CUSUM!F15))</f>
        <v>3.6666666666666714</v>
      </c>
      <c r="AL15" s="14">
        <v>89</v>
      </c>
      <c r="AM15" s="2">
        <f>MAX(0,AM14+($AL$126-AL15-CUSUM!F15))</f>
        <v>0</v>
      </c>
      <c r="AN15" s="14">
        <v>92</v>
      </c>
      <c r="AO15" s="2">
        <f>MAX(0,AO14+($AN$126-AN15-CUSUM!F15))</f>
        <v>0</v>
      </c>
    </row>
    <row r="16" spans="1:41" x14ac:dyDescent="0.2">
      <c r="A16" s="8">
        <v>43660</v>
      </c>
      <c r="B16" s="14">
        <v>93</v>
      </c>
      <c r="C16" s="2">
        <f>MAX(0,C15+($B$126-B16-CUSUM!F16))</f>
        <v>0</v>
      </c>
      <c r="D16" s="14">
        <v>90</v>
      </c>
      <c r="E16" s="2">
        <f>MAX(0,E15+($D$126-D16-CUSUM!F16))</f>
        <v>0</v>
      </c>
      <c r="F16" s="14">
        <v>87</v>
      </c>
      <c r="G16" s="2">
        <f>MAX(0,G15+($F$126-F16-CUSUM!F16))</f>
        <v>0</v>
      </c>
      <c r="H16" s="14">
        <v>81</v>
      </c>
      <c r="I16" s="2">
        <f>MAX(0,I15+($H$126-H16-CUSUM!F16))</f>
        <v>20.430894308943095</v>
      </c>
      <c r="J16" s="14">
        <v>93</v>
      </c>
      <c r="K16" s="2">
        <f>MAX(0,K15+($J$126-J16-CUSUM!F16))</f>
        <v>0</v>
      </c>
      <c r="L16" s="14">
        <v>82</v>
      </c>
      <c r="M16" s="2">
        <f>MAX(0,M15+($L$126-L16-CUSUM!F16))</f>
        <v>0</v>
      </c>
      <c r="N16" s="14">
        <v>88</v>
      </c>
      <c r="O16" s="2">
        <f>MAX(0,O15+($N$126-N16-CUSUM!F16))</f>
        <v>3.75609756097559</v>
      </c>
      <c r="P16" s="14">
        <v>84</v>
      </c>
      <c r="Q16" s="2">
        <f>MAX(0,Q15+($P$126-P16-CUSUM!F16))</f>
        <v>0</v>
      </c>
      <c r="R16" s="14">
        <v>91</v>
      </c>
      <c r="S16" s="2">
        <f>MAX(0,S15+($R$126-R16-CUSUM!F16))</f>
        <v>0</v>
      </c>
      <c r="T16" s="14">
        <v>87</v>
      </c>
      <c r="U16" s="2">
        <f>MAX(0,U15+($T$126-T16-CUSUM!F16))</f>
        <v>0</v>
      </c>
      <c r="V16" s="14">
        <v>91</v>
      </c>
      <c r="W16" s="2">
        <f>MAX(0,W15+($V$126-V16-CUSUM!F16))</f>
        <v>0</v>
      </c>
      <c r="X16" s="14">
        <v>84</v>
      </c>
      <c r="Y16" s="2">
        <f>MAX(0,Y15+($X$126-X16-CUSUM!F16))</f>
        <v>2.1869918699186428</v>
      </c>
      <c r="Z16" s="14">
        <v>88</v>
      </c>
      <c r="AA16" s="2">
        <f>MAX(0,AA15+($Z$126-Z16-CUSUM!F16))</f>
        <v>0</v>
      </c>
      <c r="AB16" s="14">
        <v>89</v>
      </c>
      <c r="AC16" s="2">
        <f>MAX(0,AC15+($AB$126-AB16-CUSUM!F16))</f>
        <v>0</v>
      </c>
      <c r="AD16" s="14">
        <v>91</v>
      </c>
      <c r="AE16" s="2">
        <f>MAX(0,AE15+($AD$126-AD16-CUSUM!F16))</f>
        <v>0</v>
      </c>
      <c r="AF16" s="14">
        <v>90</v>
      </c>
      <c r="AG16" s="2">
        <f>MAX(0,AG15+($AF$126-AF16-CUSUM!F16))</f>
        <v>0</v>
      </c>
      <c r="AH16" s="14">
        <v>90</v>
      </c>
      <c r="AI16" s="2">
        <f>MAX(0,AI15+($AH$126-AH16-CUSUM!F16))</f>
        <v>0</v>
      </c>
      <c r="AJ16" s="14">
        <v>85</v>
      </c>
      <c r="AK16" s="2">
        <f>MAX(0,AK15+($AJ$126-AJ16-CUSUM!F16))</f>
        <v>0.33333333333334281</v>
      </c>
      <c r="AL16" s="14">
        <v>90</v>
      </c>
      <c r="AM16" s="2">
        <f>MAX(0,AM15+($AL$126-AL16-CUSUM!F16))</f>
        <v>0</v>
      </c>
      <c r="AN16" s="14">
        <v>90</v>
      </c>
      <c r="AO16" s="2">
        <f>MAX(0,AO15+($AN$126-AN16-CUSUM!F16))</f>
        <v>0</v>
      </c>
    </row>
    <row r="17" spans="1:41" x14ac:dyDescent="0.2">
      <c r="A17" s="8">
        <v>43661</v>
      </c>
      <c r="B17" s="14">
        <v>82</v>
      </c>
      <c r="C17" s="2">
        <f>MAX(0,C16+($B$126-B17-CUSUM!F17))</f>
        <v>1.7154471544715477</v>
      </c>
      <c r="D17" s="14">
        <v>91</v>
      </c>
      <c r="E17" s="2">
        <f>MAX(0,E16+($D$126-D17-CUSUM!F17))</f>
        <v>0</v>
      </c>
      <c r="F17" s="14">
        <v>91</v>
      </c>
      <c r="G17" s="2">
        <f>MAX(0,G16+($F$126-F17-CUSUM!F17))</f>
        <v>0</v>
      </c>
      <c r="H17" s="14">
        <v>81</v>
      </c>
      <c r="I17" s="2">
        <f>MAX(0,I16+($H$126-H17-CUSUM!F17))</f>
        <v>22.788617886178869</v>
      </c>
      <c r="J17" s="14">
        <v>93</v>
      </c>
      <c r="K17" s="2">
        <f>MAX(0,K16+($J$126-J17-CUSUM!F17))</f>
        <v>0</v>
      </c>
      <c r="L17" s="14">
        <v>82</v>
      </c>
      <c r="M17" s="2">
        <f>MAX(0,M16+($L$126-L17-CUSUM!F17))</f>
        <v>0</v>
      </c>
      <c r="N17" s="14">
        <v>91</v>
      </c>
      <c r="O17" s="2">
        <f>MAX(0,O16+($N$126-N17-CUSUM!F17))</f>
        <v>0</v>
      </c>
      <c r="P17" s="14">
        <v>86</v>
      </c>
      <c r="Q17" s="2">
        <f>MAX(0,Q16+($P$126-P17-CUSUM!F17))</f>
        <v>0</v>
      </c>
      <c r="R17" s="14">
        <v>84</v>
      </c>
      <c r="S17" s="2">
        <f>MAX(0,S16+($R$126-R17-CUSUM!F17))</f>
        <v>0</v>
      </c>
      <c r="T17" s="14">
        <v>84</v>
      </c>
      <c r="U17" s="2">
        <f>MAX(0,U16+($T$126-T17-CUSUM!F17))</f>
        <v>0</v>
      </c>
      <c r="V17" s="14">
        <v>91</v>
      </c>
      <c r="W17" s="2">
        <f>MAX(0,W16+($V$126-V17-CUSUM!F17))</f>
        <v>0</v>
      </c>
      <c r="X17" s="14">
        <v>81</v>
      </c>
      <c r="Y17" s="2">
        <f>MAX(0,Y16+($X$126-X17-CUSUM!F17))</f>
        <v>6.5853658536584732</v>
      </c>
      <c r="Z17" s="14">
        <v>89</v>
      </c>
      <c r="AA17" s="2">
        <f>MAX(0,AA16+($Z$126-Z17-CUSUM!F17))</f>
        <v>0</v>
      </c>
      <c r="AB17" s="14">
        <v>89</v>
      </c>
      <c r="AC17" s="2">
        <f>MAX(0,AC16+($AB$126-AB17-CUSUM!F17))</f>
        <v>0</v>
      </c>
      <c r="AD17" s="14">
        <v>94</v>
      </c>
      <c r="AE17" s="2">
        <f>MAX(0,AE16+($AD$126-AD17-CUSUM!F17))</f>
        <v>0</v>
      </c>
      <c r="AF17" s="14">
        <v>80</v>
      </c>
      <c r="AG17" s="2">
        <f>MAX(0,AG16+($AF$126-AF17-CUSUM!F17))</f>
        <v>5.2764227642276467</v>
      </c>
      <c r="AH17" s="14">
        <v>90</v>
      </c>
      <c r="AI17" s="2">
        <f>MAX(0,AI16+($AH$126-AH17-CUSUM!F17))</f>
        <v>0</v>
      </c>
      <c r="AJ17" s="14">
        <v>86</v>
      </c>
      <c r="AK17" s="2">
        <f>MAX(0,AK16+($AJ$126-AJ17-CUSUM!F17))</f>
        <v>0</v>
      </c>
      <c r="AL17" s="14">
        <v>86</v>
      </c>
      <c r="AM17" s="2">
        <f>MAX(0,AM16+($AL$126-AL17-CUSUM!F17))</f>
        <v>0</v>
      </c>
      <c r="AN17" s="14">
        <v>89</v>
      </c>
      <c r="AO17" s="2">
        <f>MAX(0,AO16+($AN$126-AN17-CUSUM!F17))</f>
        <v>0</v>
      </c>
    </row>
    <row r="18" spans="1:41" x14ac:dyDescent="0.2">
      <c r="A18" s="8">
        <v>43662</v>
      </c>
      <c r="B18" s="14">
        <v>91</v>
      </c>
      <c r="C18" s="2">
        <f>MAX(0,C17+($B$126-B18-CUSUM!F18))</f>
        <v>0</v>
      </c>
      <c r="D18" s="14">
        <v>91</v>
      </c>
      <c r="E18" s="2">
        <f>MAX(0,E17+($D$126-D18-CUSUM!F18))</f>
        <v>0</v>
      </c>
      <c r="F18" s="14">
        <v>87</v>
      </c>
      <c r="G18" s="2">
        <f>MAX(0,G17+($F$126-F18-CUSUM!F18))</f>
        <v>0</v>
      </c>
      <c r="H18" s="14">
        <v>86</v>
      </c>
      <c r="I18" s="2">
        <f>MAX(0,I17+($H$126-H18-CUSUM!F18))</f>
        <v>20.146341463414643</v>
      </c>
      <c r="J18" s="14">
        <v>93</v>
      </c>
      <c r="K18" s="2">
        <f>MAX(0,K17+($J$126-J18-CUSUM!F18))</f>
        <v>0</v>
      </c>
      <c r="L18" s="14">
        <v>84</v>
      </c>
      <c r="M18" s="2">
        <f>MAX(0,M17+($L$126-L18-CUSUM!F18))</f>
        <v>0</v>
      </c>
      <c r="N18" s="14">
        <v>93</v>
      </c>
      <c r="O18" s="2">
        <f>MAX(0,O17+($N$126-N18-CUSUM!F18))</f>
        <v>0</v>
      </c>
      <c r="P18" s="14">
        <v>88</v>
      </c>
      <c r="Q18" s="2">
        <f>MAX(0,Q17+($P$126-P18-CUSUM!F18))</f>
        <v>0</v>
      </c>
      <c r="R18" s="14">
        <v>84</v>
      </c>
      <c r="S18" s="2">
        <f>MAX(0,S17+($R$126-R18-CUSUM!F18))</f>
        <v>0</v>
      </c>
      <c r="T18" s="14">
        <v>85</v>
      </c>
      <c r="U18" s="2">
        <f>MAX(0,U17+($T$126-T18-CUSUM!F18))</f>
        <v>0</v>
      </c>
      <c r="V18" s="14">
        <v>91</v>
      </c>
      <c r="W18" s="2">
        <f>MAX(0,W17+($V$126-V18-CUSUM!F18))</f>
        <v>0</v>
      </c>
      <c r="X18" s="14">
        <v>86</v>
      </c>
      <c r="Y18" s="2">
        <f>MAX(0,Y17+($X$126-X18-CUSUM!F18))</f>
        <v>5.9837398373983035</v>
      </c>
      <c r="Z18" s="14">
        <v>89</v>
      </c>
      <c r="AA18" s="2">
        <f>MAX(0,AA17+($Z$126-Z18-CUSUM!F18))</f>
        <v>0</v>
      </c>
      <c r="AB18" s="14">
        <v>90</v>
      </c>
      <c r="AC18" s="2">
        <f>MAX(0,AC17+($AB$126-AB18-CUSUM!F18))</f>
        <v>0</v>
      </c>
      <c r="AD18" s="14">
        <v>89</v>
      </c>
      <c r="AE18" s="2">
        <f>MAX(0,AE17+($AD$126-AD18-CUSUM!F18))</f>
        <v>0</v>
      </c>
      <c r="AF18" s="14">
        <v>85</v>
      </c>
      <c r="AG18" s="2">
        <f>MAX(0,AG17+($AF$126-AF18-CUSUM!F18))</f>
        <v>5.5528455284552933</v>
      </c>
      <c r="AH18" s="14">
        <v>92</v>
      </c>
      <c r="AI18" s="2">
        <f>MAX(0,AI17+($AH$126-AH18-CUSUM!F18))</f>
        <v>0</v>
      </c>
      <c r="AJ18" s="14">
        <v>87</v>
      </c>
      <c r="AK18" s="2">
        <f>MAX(0,AK17+($AJ$126-AJ18-CUSUM!F18))</f>
        <v>0</v>
      </c>
      <c r="AL18" s="14">
        <v>83</v>
      </c>
      <c r="AM18" s="2">
        <f>MAX(0,AM17+($AL$126-AL18-CUSUM!F18))</f>
        <v>0.94308943089430386</v>
      </c>
      <c r="AN18" s="14">
        <v>88</v>
      </c>
      <c r="AO18" s="2">
        <f>MAX(0,AO17+($AN$126-AN18-CUSUM!F18))</f>
        <v>0</v>
      </c>
    </row>
    <row r="19" spans="1:41" x14ac:dyDescent="0.2">
      <c r="A19" s="8">
        <v>43663</v>
      </c>
      <c r="B19" s="14">
        <v>96</v>
      </c>
      <c r="C19" s="2">
        <f>MAX(0,C18+($B$126-B19-CUSUM!F19))</f>
        <v>0</v>
      </c>
      <c r="D19" s="14">
        <v>89</v>
      </c>
      <c r="E19" s="2">
        <f>MAX(0,E18+($D$126-D19-CUSUM!F19))</f>
        <v>0</v>
      </c>
      <c r="F19" s="14">
        <v>90</v>
      </c>
      <c r="G19" s="2">
        <f>MAX(0,G18+($F$126-F19-CUSUM!F19))</f>
        <v>0</v>
      </c>
      <c r="H19" s="14">
        <v>82</v>
      </c>
      <c r="I19" s="2">
        <f>MAX(0,I18+($H$126-H19-CUSUM!F19))</f>
        <v>21.504065040650417</v>
      </c>
      <c r="J19" s="14">
        <v>91</v>
      </c>
      <c r="K19" s="2">
        <f>MAX(0,K18+($J$126-J19-CUSUM!F19))</f>
        <v>0</v>
      </c>
      <c r="L19" s="14">
        <v>87</v>
      </c>
      <c r="M19" s="2">
        <f>MAX(0,M18+($L$126-L19-CUSUM!F19))</f>
        <v>0</v>
      </c>
      <c r="N19" s="14">
        <v>93</v>
      </c>
      <c r="O19" s="2">
        <f>MAX(0,O18+($N$126-N19-CUSUM!F19))</f>
        <v>0</v>
      </c>
      <c r="P19" s="14">
        <v>88</v>
      </c>
      <c r="Q19" s="2">
        <f>MAX(0,Q18+($P$126-P19-CUSUM!F19))</f>
        <v>0</v>
      </c>
      <c r="R19" s="14">
        <v>84</v>
      </c>
      <c r="S19" s="2">
        <f>MAX(0,S18+($R$126-R19-CUSUM!F19))</f>
        <v>0</v>
      </c>
      <c r="T19" s="14">
        <v>89</v>
      </c>
      <c r="U19" s="2">
        <f>MAX(0,U18+($T$126-T19-CUSUM!F19))</f>
        <v>0</v>
      </c>
      <c r="V19" s="14">
        <v>93</v>
      </c>
      <c r="W19" s="2">
        <f>MAX(0,W18+($V$126-V19-CUSUM!F19))</f>
        <v>0</v>
      </c>
      <c r="X19" s="14">
        <v>89</v>
      </c>
      <c r="Y19" s="2">
        <f>MAX(0,Y18+($X$126-X19-CUSUM!F19))</f>
        <v>2.3821138211381339</v>
      </c>
      <c r="Z19" s="14">
        <v>88</v>
      </c>
      <c r="AA19" s="2">
        <f>MAX(0,AA18+($Z$126-Z19-CUSUM!F19))</f>
        <v>0</v>
      </c>
      <c r="AB19" s="14">
        <v>88</v>
      </c>
      <c r="AC19" s="2">
        <f>MAX(0,AC18+($AB$126-AB19-CUSUM!F19))</f>
        <v>0</v>
      </c>
      <c r="AD19" s="14">
        <v>87</v>
      </c>
      <c r="AE19" s="2">
        <f>MAX(0,AE18+($AD$126-AD19-CUSUM!F19))</f>
        <v>0.21138211382114491</v>
      </c>
      <c r="AF19" s="14">
        <v>87</v>
      </c>
      <c r="AG19" s="2">
        <f>MAX(0,AG18+($AF$126-AF19-CUSUM!F19))</f>
        <v>3.82926829268294</v>
      </c>
      <c r="AH19" s="14">
        <v>93</v>
      </c>
      <c r="AI19" s="2">
        <f>MAX(0,AI18+($AH$126-AH19-CUSUM!F19))</f>
        <v>0</v>
      </c>
      <c r="AJ19" s="14">
        <v>91</v>
      </c>
      <c r="AK19" s="2">
        <f>MAX(0,AK18+($AJ$126-AJ19-CUSUM!F19))</f>
        <v>0</v>
      </c>
      <c r="AL19" s="14">
        <v>86</v>
      </c>
      <c r="AM19" s="2">
        <f>MAX(0,AM18+($AL$126-AL19-CUSUM!F19))</f>
        <v>0</v>
      </c>
      <c r="AN19" s="14">
        <v>93</v>
      </c>
      <c r="AO19" s="2">
        <f>MAX(0,AO18+($AN$126-AN19-CUSUM!F19))</f>
        <v>0</v>
      </c>
    </row>
    <row r="20" spans="1:41" x14ac:dyDescent="0.2">
      <c r="A20" s="8">
        <v>43664</v>
      </c>
      <c r="B20" s="14">
        <v>95</v>
      </c>
      <c r="C20" s="2">
        <f>MAX(0,C19+($B$126-B20-CUSUM!F20))</f>
        <v>0</v>
      </c>
      <c r="D20" s="14">
        <v>89</v>
      </c>
      <c r="E20" s="2">
        <f>MAX(0,E19+($D$126-D20-CUSUM!F20))</f>
        <v>0</v>
      </c>
      <c r="F20" s="14">
        <v>91</v>
      </c>
      <c r="G20" s="2">
        <f>MAX(0,G19+($F$126-F20-CUSUM!F20))</f>
        <v>0</v>
      </c>
      <c r="H20" s="14">
        <v>87</v>
      </c>
      <c r="I20" s="2">
        <f>MAX(0,I19+($H$126-H20-CUSUM!F20))</f>
        <v>17.861788617886191</v>
      </c>
      <c r="J20" s="14">
        <v>97</v>
      </c>
      <c r="K20" s="2">
        <f>MAX(0,K19+($J$126-J20-CUSUM!F20))</f>
        <v>0</v>
      </c>
      <c r="L20" s="14">
        <v>88</v>
      </c>
      <c r="M20" s="2">
        <f>MAX(0,M19+($L$126-L20-CUSUM!F20))</f>
        <v>0</v>
      </c>
      <c r="N20" s="14">
        <v>93</v>
      </c>
      <c r="O20" s="2">
        <f>MAX(0,O19+($N$126-N20-CUSUM!F20))</f>
        <v>0</v>
      </c>
      <c r="P20" s="14">
        <v>88</v>
      </c>
      <c r="Q20" s="2">
        <f>MAX(0,Q19+($P$126-P20-CUSUM!F20))</f>
        <v>0</v>
      </c>
      <c r="R20" s="14">
        <v>87</v>
      </c>
      <c r="S20" s="2">
        <f>MAX(0,S19+($R$126-R20-CUSUM!F20))</f>
        <v>0</v>
      </c>
      <c r="T20" s="14">
        <v>90</v>
      </c>
      <c r="U20" s="2">
        <f>MAX(0,U19+($T$126-T20-CUSUM!F20))</f>
        <v>0</v>
      </c>
      <c r="V20" s="14">
        <v>93</v>
      </c>
      <c r="W20" s="2">
        <f>MAX(0,W19+($V$126-V20-CUSUM!F20))</f>
        <v>0</v>
      </c>
      <c r="X20" s="14">
        <v>89</v>
      </c>
      <c r="Y20" s="2">
        <f>MAX(0,Y19+($X$126-X20-CUSUM!F20))</f>
        <v>0</v>
      </c>
      <c r="Z20" s="14">
        <v>90</v>
      </c>
      <c r="AA20" s="2">
        <f>MAX(0,AA19+($Z$126-Z20-CUSUM!F20))</f>
        <v>0</v>
      </c>
      <c r="AB20" s="14">
        <v>82</v>
      </c>
      <c r="AC20" s="2">
        <f>MAX(0,AC19+($AB$126-AB20-CUSUM!F20))</f>
        <v>0</v>
      </c>
      <c r="AD20" s="14">
        <v>83</v>
      </c>
      <c r="AE20" s="2">
        <f>MAX(0,AE19+($AD$126-AD20-CUSUM!F20))</f>
        <v>4.4227642276422898</v>
      </c>
      <c r="AF20" s="14">
        <v>89</v>
      </c>
      <c r="AG20" s="2">
        <f>MAX(0,AG19+($AF$126-AF20-CUSUM!F20))</f>
        <v>0.10569105691058667</v>
      </c>
      <c r="AH20" s="14">
        <v>93</v>
      </c>
      <c r="AI20" s="2">
        <f>MAX(0,AI19+($AH$126-AH20-CUSUM!F20))</f>
        <v>0</v>
      </c>
      <c r="AJ20" s="14">
        <v>87</v>
      </c>
      <c r="AK20" s="2">
        <f>MAX(0,AK19+($AJ$126-AJ20-CUSUM!F20))</f>
        <v>0</v>
      </c>
      <c r="AL20" s="14">
        <v>82</v>
      </c>
      <c r="AM20" s="2">
        <f>MAX(0,AM19+($AL$126-AL20-CUSUM!F20))</f>
        <v>1.9430894308943039</v>
      </c>
      <c r="AN20" s="14">
        <v>92</v>
      </c>
      <c r="AO20" s="2">
        <f>MAX(0,AO19+($AN$126-AN20-CUSUM!F20))</f>
        <v>0</v>
      </c>
    </row>
    <row r="21" spans="1:41" x14ac:dyDescent="0.2">
      <c r="A21" s="8">
        <v>43665</v>
      </c>
      <c r="B21" s="14">
        <v>96</v>
      </c>
      <c r="C21" s="2">
        <f>MAX(0,C20+($B$126-B21-CUSUM!F21))</f>
        <v>0</v>
      </c>
      <c r="D21" s="14">
        <v>89</v>
      </c>
      <c r="E21" s="2">
        <f>MAX(0,E20+($D$126-D21-CUSUM!F21))</f>
        <v>0</v>
      </c>
      <c r="F21" s="14">
        <v>95</v>
      </c>
      <c r="G21" s="2">
        <f>MAX(0,G20+($F$126-F21-CUSUM!F21))</f>
        <v>0</v>
      </c>
      <c r="H21" s="14">
        <v>88</v>
      </c>
      <c r="I21" s="2">
        <f>MAX(0,I20+($H$126-H21-CUSUM!F21))</f>
        <v>13.219512195121965</v>
      </c>
      <c r="J21" s="14">
        <v>100</v>
      </c>
      <c r="K21" s="2">
        <f>MAX(0,K20+($J$126-J21-CUSUM!F21))</f>
        <v>0</v>
      </c>
      <c r="L21" s="14">
        <v>90</v>
      </c>
      <c r="M21" s="2">
        <f>MAX(0,M20+($L$126-L21-CUSUM!F21))</f>
        <v>0</v>
      </c>
      <c r="N21" s="14">
        <v>93</v>
      </c>
      <c r="O21" s="2">
        <f>MAX(0,O20+($N$126-N21-CUSUM!F21))</f>
        <v>0</v>
      </c>
      <c r="P21" s="14">
        <v>88</v>
      </c>
      <c r="Q21" s="2">
        <f>MAX(0,Q20+($P$126-P21-CUSUM!F21))</f>
        <v>0</v>
      </c>
      <c r="R21" s="14">
        <v>84</v>
      </c>
      <c r="S21" s="2">
        <f>MAX(0,S20+($R$126-R21-CUSUM!F21))</f>
        <v>0</v>
      </c>
      <c r="T21" s="14">
        <v>89</v>
      </c>
      <c r="U21" s="2">
        <f>MAX(0,U20+($T$126-T21-CUSUM!F21))</f>
        <v>0</v>
      </c>
      <c r="V21" s="14">
        <v>96</v>
      </c>
      <c r="W21" s="2">
        <f>MAX(0,W20+($V$126-V21-CUSUM!F21))</f>
        <v>0</v>
      </c>
      <c r="X21" s="14">
        <v>88</v>
      </c>
      <c r="Y21" s="2">
        <f>MAX(0,Y20+($X$126-X21-CUSUM!F21))</f>
        <v>0</v>
      </c>
      <c r="Z21" s="14">
        <v>91</v>
      </c>
      <c r="AA21" s="2">
        <f>MAX(0,AA20+($Z$126-Z21-CUSUM!F21))</f>
        <v>0</v>
      </c>
      <c r="AB21" s="14">
        <v>80</v>
      </c>
      <c r="AC21" s="2">
        <f>MAX(0,AC20+($AB$126-AB21-CUSUM!F21))</f>
        <v>0.99186991869918018</v>
      </c>
      <c r="AD21" s="14">
        <v>90</v>
      </c>
      <c r="AE21" s="2">
        <f>MAX(0,AE20+($AD$126-AD21-CUSUM!F21))</f>
        <v>1.6341463414634347</v>
      </c>
      <c r="AF21" s="14">
        <v>94</v>
      </c>
      <c r="AG21" s="2">
        <f>MAX(0,AG20+($AF$126-AF21-CUSUM!F21))</f>
        <v>0</v>
      </c>
      <c r="AH21" s="14">
        <v>91</v>
      </c>
      <c r="AI21" s="2">
        <f>MAX(0,AI20+($AH$126-AH21-CUSUM!F21))</f>
        <v>0</v>
      </c>
      <c r="AJ21" s="14">
        <v>90</v>
      </c>
      <c r="AK21" s="2">
        <f>MAX(0,AK20+($AJ$126-AJ21-CUSUM!F21))</f>
        <v>0</v>
      </c>
      <c r="AL21" s="14">
        <v>85</v>
      </c>
      <c r="AM21" s="2">
        <f>MAX(0,AM20+($AL$126-AL21-CUSUM!F21))</f>
        <v>0.88617886178860772</v>
      </c>
      <c r="AN21" s="14">
        <v>91</v>
      </c>
      <c r="AO21" s="2">
        <f>MAX(0,AO20+($AN$126-AN21-CUSUM!F21))</f>
        <v>0</v>
      </c>
    </row>
    <row r="22" spans="1:41" x14ac:dyDescent="0.2">
      <c r="A22" s="8">
        <v>43666</v>
      </c>
      <c r="B22" s="14">
        <v>99</v>
      </c>
      <c r="C22" s="2">
        <f>MAX(0,C21+($B$126-B22-CUSUM!F22))</f>
        <v>0</v>
      </c>
      <c r="D22" s="14">
        <v>90</v>
      </c>
      <c r="E22" s="2">
        <f>MAX(0,E21+($D$126-D22-CUSUM!F22))</f>
        <v>0</v>
      </c>
      <c r="F22" s="14">
        <v>91</v>
      </c>
      <c r="G22" s="2">
        <f>MAX(0,G21+($F$126-F22-CUSUM!F22))</f>
        <v>0</v>
      </c>
      <c r="H22" s="14">
        <v>90</v>
      </c>
      <c r="I22" s="2">
        <f>MAX(0,I21+($H$126-H22-CUSUM!F22))</f>
        <v>6.5772357723577386</v>
      </c>
      <c r="J22" s="14">
        <v>99</v>
      </c>
      <c r="K22" s="2">
        <f>MAX(0,K21+($J$126-J22-CUSUM!F22))</f>
        <v>0</v>
      </c>
      <c r="L22" s="14">
        <v>87</v>
      </c>
      <c r="M22" s="2">
        <f>MAX(0,M21+($L$126-L22-CUSUM!F22))</f>
        <v>0</v>
      </c>
      <c r="N22" s="14">
        <v>91</v>
      </c>
      <c r="O22" s="2">
        <f>MAX(0,O21+($N$126-N22-CUSUM!F22))</f>
        <v>0</v>
      </c>
      <c r="P22" s="14">
        <v>88</v>
      </c>
      <c r="Q22" s="2">
        <f>MAX(0,Q21+($P$126-P22-CUSUM!F22))</f>
        <v>0</v>
      </c>
      <c r="R22" s="14">
        <v>88</v>
      </c>
      <c r="S22" s="2">
        <f>MAX(0,S21+($R$126-R22-CUSUM!F22))</f>
        <v>0</v>
      </c>
      <c r="T22" s="14">
        <v>89</v>
      </c>
      <c r="U22" s="2">
        <f>MAX(0,U21+($T$126-T22-CUSUM!F22))</f>
        <v>0</v>
      </c>
      <c r="V22" s="14">
        <v>93</v>
      </c>
      <c r="W22" s="2">
        <f>MAX(0,W21+($V$126-V22-CUSUM!F22))</f>
        <v>0</v>
      </c>
      <c r="X22" s="14">
        <v>86</v>
      </c>
      <c r="Y22" s="2">
        <f>MAX(0,Y21+($X$126-X22-CUSUM!F22))</f>
        <v>0</v>
      </c>
      <c r="Z22" s="14">
        <v>94</v>
      </c>
      <c r="AA22" s="2">
        <f>MAX(0,AA21+($Z$126-Z22-CUSUM!F22))</f>
        <v>0</v>
      </c>
      <c r="AB22" s="14">
        <v>82</v>
      </c>
      <c r="AC22" s="2">
        <f>MAX(0,AC21+($AB$126-AB22-CUSUM!F22))</f>
        <v>0</v>
      </c>
      <c r="AD22" s="14">
        <v>91</v>
      </c>
      <c r="AE22" s="2">
        <f>MAX(0,AE21+($AD$126-AD22-CUSUM!F22))</f>
        <v>0</v>
      </c>
      <c r="AF22" s="14">
        <v>91</v>
      </c>
      <c r="AG22" s="2">
        <f>MAX(0,AG21+($AF$126-AF22-CUSUM!F22))</f>
        <v>0</v>
      </c>
      <c r="AH22" s="14">
        <v>84</v>
      </c>
      <c r="AI22" s="2">
        <f>MAX(0,AI21+($AH$126-AH22-CUSUM!F22))</f>
        <v>0.65040650406504597</v>
      </c>
      <c r="AJ22" s="14">
        <v>86</v>
      </c>
      <c r="AK22" s="2">
        <f>MAX(0,AK21+($AJ$126-AJ22-CUSUM!F22))</f>
        <v>0</v>
      </c>
      <c r="AL22" s="14">
        <v>76</v>
      </c>
      <c r="AM22" s="2">
        <f>MAX(0,AM21+($AL$126-AL22-CUSUM!F22))</f>
        <v>8.8292682926829116</v>
      </c>
      <c r="AN22" s="14">
        <v>93</v>
      </c>
      <c r="AO22" s="2">
        <f>MAX(0,AO21+($AN$126-AN22-CUSUM!F22))</f>
        <v>0</v>
      </c>
    </row>
    <row r="23" spans="1:41" x14ac:dyDescent="0.2">
      <c r="A23" s="8">
        <v>43667</v>
      </c>
      <c r="B23" s="14">
        <v>91</v>
      </c>
      <c r="C23" s="2">
        <f>MAX(0,C22+($B$126-B23-CUSUM!F23))</f>
        <v>0</v>
      </c>
      <c r="D23" s="14">
        <v>89</v>
      </c>
      <c r="E23" s="2">
        <f>MAX(0,E22+($D$126-D23-CUSUM!F23))</f>
        <v>0</v>
      </c>
      <c r="F23" s="14">
        <v>91</v>
      </c>
      <c r="G23" s="2">
        <f>MAX(0,G22+($F$126-F23-CUSUM!F23))</f>
        <v>0</v>
      </c>
      <c r="H23" s="14">
        <v>90</v>
      </c>
      <c r="I23" s="2">
        <f>MAX(0,I22+($H$126-H23-CUSUM!F23))</f>
        <v>0</v>
      </c>
      <c r="J23" s="14">
        <v>93</v>
      </c>
      <c r="K23" s="2">
        <f>MAX(0,K22+($J$126-J23-CUSUM!F23))</f>
        <v>0</v>
      </c>
      <c r="L23" s="14">
        <v>84</v>
      </c>
      <c r="M23" s="2">
        <f>MAX(0,M22+($L$126-L23-CUSUM!F23))</f>
        <v>0</v>
      </c>
      <c r="N23" s="14">
        <v>95</v>
      </c>
      <c r="O23" s="2">
        <f>MAX(0,O22+($N$126-N23-CUSUM!F23))</f>
        <v>0</v>
      </c>
      <c r="P23" s="14">
        <v>89</v>
      </c>
      <c r="Q23" s="2">
        <f>MAX(0,Q22+($P$126-P23-CUSUM!F23))</f>
        <v>0</v>
      </c>
      <c r="R23" s="14">
        <v>89</v>
      </c>
      <c r="S23" s="2">
        <f>MAX(0,S22+($R$126-R23-CUSUM!F23))</f>
        <v>0</v>
      </c>
      <c r="T23" s="14">
        <v>90</v>
      </c>
      <c r="U23" s="2">
        <f>MAX(0,U22+($T$126-T23-CUSUM!F23))</f>
        <v>0</v>
      </c>
      <c r="V23" s="14">
        <v>93</v>
      </c>
      <c r="W23" s="2">
        <f>MAX(0,W22+($V$126-V23-CUSUM!F23))</f>
        <v>0</v>
      </c>
      <c r="X23" s="14">
        <v>86</v>
      </c>
      <c r="Y23" s="2">
        <f>MAX(0,Y22+($X$126-X23-CUSUM!F23))</f>
        <v>0</v>
      </c>
      <c r="Z23" s="14">
        <v>95</v>
      </c>
      <c r="AA23" s="2">
        <f>MAX(0,AA22+($Z$126-Z23-CUSUM!F23))</f>
        <v>0</v>
      </c>
      <c r="AB23" s="14">
        <v>86</v>
      </c>
      <c r="AC23" s="2">
        <f>MAX(0,AC22+($AB$126-AB23-CUSUM!F23))</f>
        <v>0</v>
      </c>
      <c r="AD23" s="14">
        <v>94</v>
      </c>
      <c r="AE23" s="2">
        <f>MAX(0,AE22+($AD$126-AD23-CUSUM!F23))</f>
        <v>0</v>
      </c>
      <c r="AF23" s="14">
        <v>92</v>
      </c>
      <c r="AG23" s="2">
        <f>MAX(0,AG22+($AF$126-AF23-CUSUM!F23))</f>
        <v>0</v>
      </c>
      <c r="AH23" s="14">
        <v>90</v>
      </c>
      <c r="AI23" s="2">
        <f>MAX(0,AI22+($AH$126-AH23-CUSUM!F23))</f>
        <v>0</v>
      </c>
      <c r="AJ23" s="14">
        <v>87</v>
      </c>
      <c r="AK23" s="2">
        <f>MAX(0,AK22+($AJ$126-AJ23-CUSUM!F23))</f>
        <v>0</v>
      </c>
      <c r="AL23" s="14">
        <v>82</v>
      </c>
      <c r="AM23" s="2">
        <f>MAX(0,AM22+($AL$126-AL23-CUSUM!F23))</f>
        <v>10.772357723577215</v>
      </c>
      <c r="AN23" s="14">
        <v>93</v>
      </c>
      <c r="AO23" s="2">
        <f>MAX(0,AO22+($AN$126-AN23-CUSUM!F23))</f>
        <v>0</v>
      </c>
    </row>
    <row r="24" spans="1:41" x14ac:dyDescent="0.2">
      <c r="A24" s="8">
        <v>43668</v>
      </c>
      <c r="B24" s="14">
        <v>95</v>
      </c>
      <c r="C24" s="2">
        <f>MAX(0,C23+($B$126-B24-CUSUM!F24))</f>
        <v>0</v>
      </c>
      <c r="D24" s="14">
        <v>84</v>
      </c>
      <c r="E24" s="2">
        <f>MAX(0,E23+($D$126-D24-CUSUM!F24))</f>
        <v>0</v>
      </c>
      <c r="F24" s="14">
        <v>89</v>
      </c>
      <c r="G24" s="2">
        <f>MAX(0,G23+($F$126-F24-CUSUM!F24))</f>
        <v>0</v>
      </c>
      <c r="H24" s="14">
        <v>91</v>
      </c>
      <c r="I24" s="2">
        <f>MAX(0,I23+($H$126-H24-CUSUM!F24))</f>
        <v>0</v>
      </c>
      <c r="J24" s="14">
        <v>96</v>
      </c>
      <c r="K24" s="2">
        <f>MAX(0,K23+($J$126-J24-CUSUM!F24))</f>
        <v>0</v>
      </c>
      <c r="L24" s="14">
        <v>87</v>
      </c>
      <c r="M24" s="2">
        <f>MAX(0,M23+($L$126-L24-CUSUM!F24))</f>
        <v>0</v>
      </c>
      <c r="N24" s="14">
        <v>91</v>
      </c>
      <c r="O24" s="2">
        <f>MAX(0,O23+($N$126-N24-CUSUM!F24))</f>
        <v>0</v>
      </c>
      <c r="P24" s="14">
        <v>86</v>
      </c>
      <c r="Q24" s="2">
        <f>MAX(0,Q23+($P$126-P24-CUSUM!F24))</f>
        <v>0</v>
      </c>
      <c r="R24" s="14">
        <v>89</v>
      </c>
      <c r="S24" s="2">
        <f>MAX(0,S23+($R$126-R24-CUSUM!F24))</f>
        <v>0</v>
      </c>
      <c r="T24" s="14">
        <v>91</v>
      </c>
      <c r="U24" s="2">
        <f>MAX(0,U23+($T$126-T24-CUSUM!F24))</f>
        <v>0</v>
      </c>
      <c r="V24" s="14">
        <v>91</v>
      </c>
      <c r="W24" s="2">
        <f>MAX(0,W23+($V$126-V24-CUSUM!F24))</f>
        <v>0</v>
      </c>
      <c r="X24" s="14">
        <v>79</v>
      </c>
      <c r="Y24" s="2">
        <f>MAX(0,Y23+($X$126-X24-CUSUM!F24))</f>
        <v>6.3983739837398304</v>
      </c>
      <c r="Z24" s="14">
        <v>92</v>
      </c>
      <c r="AA24" s="2">
        <f>MAX(0,AA23+($Z$126-Z24-CUSUM!F24))</f>
        <v>0</v>
      </c>
      <c r="AB24" s="14">
        <v>84</v>
      </c>
      <c r="AC24" s="2">
        <f>MAX(0,AC23+($AB$126-AB24-CUSUM!F24))</f>
        <v>0</v>
      </c>
      <c r="AD24" s="14">
        <v>95</v>
      </c>
      <c r="AE24" s="2">
        <f>MAX(0,AE23+($AD$126-AD24-CUSUM!F24))</f>
        <v>0</v>
      </c>
      <c r="AF24" s="14">
        <v>94</v>
      </c>
      <c r="AG24" s="2">
        <f>MAX(0,AG23+($AF$126-AF24-CUSUM!F24))</f>
        <v>0</v>
      </c>
      <c r="AH24" s="14">
        <v>95</v>
      </c>
      <c r="AI24" s="2">
        <f>MAX(0,AI23+($AH$126-AH24-CUSUM!F24))</f>
        <v>0</v>
      </c>
      <c r="AJ24" s="14">
        <v>85</v>
      </c>
      <c r="AK24" s="2">
        <f>MAX(0,AK23+($AJ$126-AJ24-CUSUM!F24))</f>
        <v>0</v>
      </c>
      <c r="AL24" s="14">
        <v>83</v>
      </c>
      <c r="AM24" s="2">
        <f>MAX(0,AM23+($AL$126-AL24-CUSUM!F24))</f>
        <v>11.715447154471519</v>
      </c>
      <c r="AN24" s="14">
        <v>92</v>
      </c>
      <c r="AO24" s="2">
        <f>MAX(0,AO23+($AN$126-AN24-CUSUM!F24))</f>
        <v>0</v>
      </c>
    </row>
    <row r="25" spans="1:41" x14ac:dyDescent="0.2">
      <c r="A25" s="8">
        <v>43669</v>
      </c>
      <c r="B25" s="14">
        <v>91</v>
      </c>
      <c r="C25" s="2">
        <f>MAX(0,C24+($B$126-B25-CUSUM!F25))</f>
        <v>0</v>
      </c>
      <c r="D25" s="14">
        <v>87</v>
      </c>
      <c r="E25" s="2">
        <f>MAX(0,E24+($D$126-D25-CUSUM!F25))</f>
        <v>0</v>
      </c>
      <c r="F25" s="14">
        <v>91</v>
      </c>
      <c r="G25" s="2">
        <f>MAX(0,G24+($F$126-F25-CUSUM!F25))</f>
        <v>0</v>
      </c>
      <c r="H25" s="14">
        <v>93</v>
      </c>
      <c r="I25" s="2">
        <f>MAX(0,I24+($H$126-H25-CUSUM!F25))</f>
        <v>0</v>
      </c>
      <c r="J25" s="14">
        <v>87</v>
      </c>
      <c r="K25" s="2">
        <f>MAX(0,K24+($J$126-J25-CUSUM!F25))</f>
        <v>0</v>
      </c>
      <c r="L25" s="14">
        <v>90</v>
      </c>
      <c r="M25" s="2">
        <f>MAX(0,M24+($L$126-L25-CUSUM!F25))</f>
        <v>0</v>
      </c>
      <c r="N25" s="14">
        <v>89</v>
      </c>
      <c r="O25" s="2">
        <f>MAX(0,O24+($N$126-N25-CUSUM!F25))</f>
        <v>0</v>
      </c>
      <c r="P25" s="14">
        <v>81</v>
      </c>
      <c r="Q25" s="2">
        <f>MAX(0,Q24+($P$126-P25-CUSUM!F25))</f>
        <v>0.47967479674797175</v>
      </c>
      <c r="R25" s="14">
        <v>93</v>
      </c>
      <c r="S25" s="2">
        <f>MAX(0,S24+($R$126-R25-CUSUM!F25))</f>
        <v>0</v>
      </c>
      <c r="T25" s="14">
        <v>91</v>
      </c>
      <c r="U25" s="2">
        <f>MAX(0,U24+($T$126-T25-CUSUM!F25))</f>
        <v>0</v>
      </c>
      <c r="V25" s="14">
        <v>86</v>
      </c>
      <c r="W25" s="2">
        <f>MAX(0,W24+($V$126-V25-CUSUM!F25))</f>
        <v>0</v>
      </c>
      <c r="X25" s="14">
        <v>82</v>
      </c>
      <c r="Y25" s="2">
        <f>MAX(0,Y24+($X$126-X25-CUSUM!F25))</f>
        <v>9.7967479674796607</v>
      </c>
      <c r="Z25" s="14">
        <v>87</v>
      </c>
      <c r="AA25" s="2">
        <f>MAX(0,AA24+($Z$126-Z25-CUSUM!F25))</f>
        <v>0</v>
      </c>
      <c r="AB25" s="14">
        <v>87</v>
      </c>
      <c r="AC25" s="2">
        <f>MAX(0,AC24+($AB$126-AB25-CUSUM!F25))</f>
        <v>0</v>
      </c>
      <c r="AD25" s="14">
        <v>97</v>
      </c>
      <c r="AE25" s="2">
        <f>MAX(0,AE24+($AD$126-AD25-CUSUM!F25))</f>
        <v>0</v>
      </c>
      <c r="AF25" s="14">
        <v>92</v>
      </c>
      <c r="AG25" s="2">
        <f>MAX(0,AG24+($AF$126-AF25-CUSUM!F25))</f>
        <v>0</v>
      </c>
      <c r="AH25" s="14">
        <v>97</v>
      </c>
      <c r="AI25" s="2">
        <f>MAX(0,AI24+($AH$126-AH25-CUSUM!F25))</f>
        <v>0</v>
      </c>
      <c r="AJ25" s="14">
        <v>84</v>
      </c>
      <c r="AK25" s="2">
        <f>MAX(0,AK24+($AJ$126-AJ25-CUSUM!F25))</f>
        <v>0</v>
      </c>
      <c r="AL25" s="14">
        <v>88</v>
      </c>
      <c r="AM25" s="2">
        <f>MAX(0,AM24+($AL$126-AL25-CUSUM!F25))</f>
        <v>7.6585365853658232</v>
      </c>
      <c r="AN25" s="14">
        <v>88</v>
      </c>
      <c r="AO25" s="2">
        <f>MAX(0,AO24+($AN$126-AN25-CUSUM!F25))</f>
        <v>0</v>
      </c>
    </row>
    <row r="26" spans="1:41" x14ac:dyDescent="0.2">
      <c r="A26" s="8">
        <v>43670</v>
      </c>
      <c r="B26" s="14">
        <v>93</v>
      </c>
      <c r="C26" s="2">
        <f>MAX(0,C25+($B$126-B26-CUSUM!F26))</f>
        <v>0</v>
      </c>
      <c r="D26" s="14">
        <v>88</v>
      </c>
      <c r="E26" s="2">
        <f>MAX(0,E25+($D$126-D26-CUSUM!F26))</f>
        <v>0</v>
      </c>
      <c r="F26" s="14">
        <v>91</v>
      </c>
      <c r="G26" s="2">
        <f>MAX(0,G25+($F$126-F26-CUSUM!F26))</f>
        <v>0</v>
      </c>
      <c r="H26" s="14">
        <v>93</v>
      </c>
      <c r="I26" s="2">
        <f>MAX(0,I25+($H$126-H26-CUSUM!F26))</f>
        <v>0</v>
      </c>
      <c r="J26" s="14">
        <v>82</v>
      </c>
      <c r="K26" s="2">
        <f>MAX(0,K25+($J$126-J26-CUSUM!F26))</f>
        <v>2.0325203252032509</v>
      </c>
      <c r="L26" s="14">
        <v>84</v>
      </c>
      <c r="M26" s="2">
        <f>MAX(0,M25+($L$126-L26-CUSUM!F26))</f>
        <v>0</v>
      </c>
      <c r="N26" s="14">
        <v>87</v>
      </c>
      <c r="O26" s="2">
        <f>MAX(0,O25+($N$126-N26-CUSUM!F26))</f>
        <v>0</v>
      </c>
      <c r="P26" s="14">
        <v>82</v>
      </c>
      <c r="Q26" s="2">
        <f>MAX(0,Q25+($P$126-P26-CUSUM!F26))</f>
        <v>0</v>
      </c>
      <c r="R26" s="14">
        <v>95</v>
      </c>
      <c r="S26" s="2">
        <f>MAX(0,S25+($R$126-R26-CUSUM!F26))</f>
        <v>0</v>
      </c>
      <c r="T26" s="14">
        <v>90</v>
      </c>
      <c r="U26" s="2">
        <f>MAX(0,U25+($T$126-T26-CUSUM!F26))</f>
        <v>0</v>
      </c>
      <c r="V26" s="14">
        <v>87</v>
      </c>
      <c r="W26" s="2">
        <f>MAX(0,W25+($V$126-V26-CUSUM!F26))</f>
        <v>0</v>
      </c>
      <c r="X26" s="14">
        <v>87</v>
      </c>
      <c r="Y26" s="2">
        <f>MAX(0,Y25+($X$126-X26-CUSUM!F26))</f>
        <v>8.1951219512194911</v>
      </c>
      <c r="Z26" s="14">
        <v>88</v>
      </c>
      <c r="AA26" s="2">
        <f>MAX(0,AA25+($Z$126-Z26-CUSUM!F26))</f>
        <v>0</v>
      </c>
      <c r="AB26" s="14">
        <v>88</v>
      </c>
      <c r="AC26" s="2">
        <f>MAX(0,AC25+($AB$126-AB26-CUSUM!F26))</f>
        <v>0</v>
      </c>
      <c r="AD26" s="14">
        <v>94</v>
      </c>
      <c r="AE26" s="2">
        <f>MAX(0,AE25+($AD$126-AD26-CUSUM!F26))</f>
        <v>0</v>
      </c>
      <c r="AF26" s="14">
        <v>92</v>
      </c>
      <c r="AG26" s="2">
        <f>MAX(0,AG25+($AF$126-AF26-CUSUM!F26))</f>
        <v>0</v>
      </c>
      <c r="AH26" s="14">
        <v>97</v>
      </c>
      <c r="AI26" s="2">
        <f>MAX(0,AI25+($AH$126-AH26-CUSUM!F26))</f>
        <v>0</v>
      </c>
      <c r="AJ26" s="14">
        <v>86</v>
      </c>
      <c r="AK26" s="2">
        <f>MAX(0,AK25+($AJ$126-AJ26-CUSUM!F26))</f>
        <v>0</v>
      </c>
      <c r="AL26" s="14">
        <v>87</v>
      </c>
      <c r="AM26" s="2">
        <f>MAX(0,AM25+($AL$126-AL26-CUSUM!F26))</f>
        <v>4.601626016260127</v>
      </c>
      <c r="AN26" s="14">
        <v>91</v>
      </c>
      <c r="AO26" s="2">
        <f>MAX(0,AO25+($AN$126-AN26-CUSUM!F26))</f>
        <v>0</v>
      </c>
    </row>
    <row r="27" spans="1:41" x14ac:dyDescent="0.2">
      <c r="A27" s="8">
        <v>43671</v>
      </c>
      <c r="B27" s="14">
        <v>84</v>
      </c>
      <c r="C27" s="2">
        <f>MAX(0,C26+($B$126-B27-CUSUM!F27))</f>
        <v>0</v>
      </c>
      <c r="D27" s="14">
        <v>89</v>
      </c>
      <c r="E27" s="2">
        <f>MAX(0,E26+($D$126-D27-CUSUM!F27))</f>
        <v>0</v>
      </c>
      <c r="F27" s="14">
        <v>86</v>
      </c>
      <c r="G27" s="2">
        <f>MAX(0,G26+($F$126-F27-CUSUM!F27))</f>
        <v>0</v>
      </c>
      <c r="H27" s="14">
        <v>91</v>
      </c>
      <c r="I27" s="2">
        <f>MAX(0,I26+($H$126-H27-CUSUM!F27))</f>
        <v>0</v>
      </c>
      <c r="J27" s="14">
        <v>75</v>
      </c>
      <c r="K27" s="2">
        <f>MAX(0,K26+($J$126-J27-CUSUM!F27))</f>
        <v>11.065040650406502</v>
      </c>
      <c r="L27" s="14">
        <v>82</v>
      </c>
      <c r="M27" s="2">
        <f>MAX(0,M26+($L$126-L27-CUSUM!F27))</f>
        <v>0</v>
      </c>
      <c r="N27" s="14">
        <v>84</v>
      </c>
      <c r="O27" s="2">
        <f>MAX(0,O26+($N$126-N27-CUSUM!F27))</f>
        <v>0</v>
      </c>
      <c r="P27" s="14">
        <v>84</v>
      </c>
      <c r="Q27" s="2">
        <f>MAX(0,Q26+($P$126-P27-CUSUM!F27))</f>
        <v>0</v>
      </c>
      <c r="R27" s="14">
        <v>89</v>
      </c>
      <c r="S27" s="2">
        <f>MAX(0,S26+($R$126-R27-CUSUM!F27))</f>
        <v>0</v>
      </c>
      <c r="T27" s="14">
        <v>92</v>
      </c>
      <c r="U27" s="2">
        <f>MAX(0,U26+($T$126-T27-CUSUM!F27))</f>
        <v>0</v>
      </c>
      <c r="V27" s="14">
        <v>88</v>
      </c>
      <c r="W27" s="2">
        <f>MAX(0,W26+($V$126-V27-CUSUM!F27))</f>
        <v>0</v>
      </c>
      <c r="X27" s="14">
        <v>87</v>
      </c>
      <c r="Y27" s="2">
        <f>MAX(0,Y26+($X$126-X27-CUSUM!F27))</f>
        <v>6.5934959349593214</v>
      </c>
      <c r="Z27" s="14">
        <v>89</v>
      </c>
      <c r="AA27" s="2">
        <f>MAX(0,AA26+($Z$126-Z27-CUSUM!F27))</f>
        <v>0</v>
      </c>
      <c r="AB27" s="14">
        <v>90</v>
      </c>
      <c r="AC27" s="2">
        <f>MAX(0,AC26+($AB$126-AB27-CUSUM!F27))</f>
        <v>0</v>
      </c>
      <c r="AD27" s="14">
        <v>95</v>
      </c>
      <c r="AE27" s="2">
        <f>MAX(0,AE26+($AD$126-AD27-CUSUM!F27))</f>
        <v>0</v>
      </c>
      <c r="AF27" s="14">
        <v>90</v>
      </c>
      <c r="AG27" s="2">
        <f>MAX(0,AG26+($AF$126-AF27-CUSUM!F27))</f>
        <v>0</v>
      </c>
      <c r="AH27" s="14">
        <v>98</v>
      </c>
      <c r="AI27" s="2">
        <f>MAX(0,AI26+($AH$126-AH27-CUSUM!F27))</f>
        <v>0</v>
      </c>
      <c r="AJ27" s="14">
        <v>89</v>
      </c>
      <c r="AK27" s="2">
        <f>MAX(0,AK26+($AJ$126-AJ27-CUSUM!F27))</f>
        <v>0</v>
      </c>
      <c r="AL27" s="14">
        <v>88</v>
      </c>
      <c r="AM27" s="2">
        <f>MAX(0,AM26+($AL$126-AL27-CUSUM!F27))</f>
        <v>0.54471544715443088</v>
      </c>
      <c r="AN27" s="14">
        <v>90</v>
      </c>
      <c r="AO27" s="2">
        <f>MAX(0,AO26+($AN$126-AN27-CUSUM!F27))</f>
        <v>0</v>
      </c>
    </row>
    <row r="28" spans="1:41" x14ac:dyDescent="0.2">
      <c r="A28" s="8">
        <v>43672</v>
      </c>
      <c r="B28" s="14">
        <v>84</v>
      </c>
      <c r="C28" s="2">
        <f>MAX(0,C27+($B$126-B28-CUSUM!F28))</f>
        <v>0</v>
      </c>
      <c r="D28" s="14">
        <v>89</v>
      </c>
      <c r="E28" s="2">
        <f>MAX(0,E27+($D$126-D28-CUSUM!F28))</f>
        <v>0</v>
      </c>
      <c r="F28" s="14">
        <v>88</v>
      </c>
      <c r="G28" s="2">
        <f>MAX(0,G27+($F$126-F28-CUSUM!F28))</f>
        <v>0</v>
      </c>
      <c r="H28" s="14">
        <v>93</v>
      </c>
      <c r="I28" s="2">
        <f>MAX(0,I27+($H$126-H28-CUSUM!F28))</f>
        <v>0</v>
      </c>
      <c r="J28" s="14">
        <v>82</v>
      </c>
      <c r="K28" s="2">
        <f>MAX(0,K27+($J$126-J28-CUSUM!F28))</f>
        <v>13.097560975609753</v>
      </c>
      <c r="L28" s="14">
        <v>88</v>
      </c>
      <c r="M28" s="2">
        <f>MAX(0,M27+($L$126-L28-CUSUM!F28))</f>
        <v>0</v>
      </c>
      <c r="N28" s="14">
        <v>86</v>
      </c>
      <c r="O28" s="2">
        <f>MAX(0,O27+($N$126-N28-CUSUM!F28))</f>
        <v>0</v>
      </c>
      <c r="P28" s="14">
        <v>87</v>
      </c>
      <c r="Q28" s="2">
        <f>MAX(0,Q27+($P$126-P28-CUSUM!F28))</f>
        <v>0</v>
      </c>
      <c r="R28" s="14">
        <v>87</v>
      </c>
      <c r="S28" s="2">
        <f>MAX(0,S27+($R$126-R28-CUSUM!F28))</f>
        <v>0</v>
      </c>
      <c r="T28" s="14">
        <v>94</v>
      </c>
      <c r="U28" s="2">
        <f>MAX(0,U27+($T$126-T28-CUSUM!F28))</f>
        <v>0</v>
      </c>
      <c r="V28" s="14">
        <v>93</v>
      </c>
      <c r="W28" s="2">
        <f>MAX(0,W27+($V$126-V28-CUSUM!F28))</f>
        <v>0</v>
      </c>
      <c r="X28" s="14">
        <v>87</v>
      </c>
      <c r="Y28" s="2">
        <f>MAX(0,Y27+($X$126-X28-CUSUM!F28))</f>
        <v>4.9918699186991518</v>
      </c>
      <c r="Z28" s="14">
        <v>87</v>
      </c>
      <c r="AA28" s="2">
        <f>MAX(0,AA27+($Z$126-Z28-CUSUM!F28))</f>
        <v>0</v>
      </c>
      <c r="AB28" s="14">
        <v>92</v>
      </c>
      <c r="AC28" s="2">
        <f>MAX(0,AC27+($AB$126-AB28-CUSUM!F28))</f>
        <v>0</v>
      </c>
      <c r="AD28" s="14">
        <v>95</v>
      </c>
      <c r="AE28" s="2">
        <f>MAX(0,AE27+($AD$126-AD28-CUSUM!F28))</f>
        <v>0</v>
      </c>
      <c r="AF28" s="14">
        <v>94</v>
      </c>
      <c r="AG28" s="2">
        <f>MAX(0,AG27+($AF$126-AF28-CUSUM!F28))</f>
        <v>0</v>
      </c>
      <c r="AH28" s="14">
        <v>98</v>
      </c>
      <c r="AI28" s="2">
        <f>MAX(0,AI27+($AH$126-AH28-CUSUM!F28))</f>
        <v>0</v>
      </c>
      <c r="AJ28" s="14">
        <v>86</v>
      </c>
      <c r="AK28" s="2">
        <f>MAX(0,AK27+($AJ$126-AJ28-CUSUM!F28))</f>
        <v>0</v>
      </c>
      <c r="AL28" s="14">
        <v>89</v>
      </c>
      <c r="AM28" s="2">
        <f>MAX(0,AM27+($AL$126-AL28-CUSUM!F28))</f>
        <v>0</v>
      </c>
      <c r="AN28" s="14">
        <v>91</v>
      </c>
      <c r="AO28" s="2">
        <f>MAX(0,AO27+($AN$126-AN28-CUSUM!F28))</f>
        <v>0</v>
      </c>
    </row>
    <row r="29" spans="1:41" x14ac:dyDescent="0.2">
      <c r="A29" s="8">
        <v>43673</v>
      </c>
      <c r="B29" s="14">
        <v>82</v>
      </c>
      <c r="C29" s="2">
        <f>MAX(0,C28+($B$126-B29-CUSUM!F29))</f>
        <v>1.7154471544715477</v>
      </c>
      <c r="D29" s="14">
        <v>91</v>
      </c>
      <c r="E29" s="2">
        <f>MAX(0,E28+($D$126-D29-CUSUM!F29))</f>
        <v>0</v>
      </c>
      <c r="F29" s="14">
        <v>80</v>
      </c>
      <c r="G29" s="2">
        <f>MAX(0,G28+($F$126-F29-CUSUM!F29))</f>
        <v>4.2601626016260212</v>
      </c>
      <c r="H29" s="14">
        <v>93</v>
      </c>
      <c r="I29" s="2">
        <f>MAX(0,I28+($H$126-H29-CUSUM!F29))</f>
        <v>0</v>
      </c>
      <c r="J29" s="14">
        <v>88</v>
      </c>
      <c r="K29" s="2">
        <f>MAX(0,K28+($J$126-J29-CUSUM!F29))</f>
        <v>9.1300813008130035</v>
      </c>
      <c r="L29" s="14">
        <v>90</v>
      </c>
      <c r="M29" s="2">
        <f>MAX(0,M28+($L$126-L29-CUSUM!F29))</f>
        <v>0</v>
      </c>
      <c r="N29" s="14">
        <v>89</v>
      </c>
      <c r="O29" s="2">
        <f>MAX(0,O28+($N$126-N29-CUSUM!F29))</f>
        <v>0</v>
      </c>
      <c r="P29" s="14">
        <v>87</v>
      </c>
      <c r="Q29" s="2">
        <f>MAX(0,Q28+($P$126-P29-CUSUM!F29))</f>
        <v>0</v>
      </c>
      <c r="R29" s="14">
        <v>84</v>
      </c>
      <c r="S29" s="2">
        <f>MAX(0,S28+($R$126-R29-CUSUM!F29))</f>
        <v>0</v>
      </c>
      <c r="T29" s="14">
        <v>92</v>
      </c>
      <c r="U29" s="2">
        <f>MAX(0,U28+($T$126-T29-CUSUM!F29))</f>
        <v>0</v>
      </c>
      <c r="V29" s="14">
        <v>95</v>
      </c>
      <c r="W29" s="2">
        <f>MAX(0,W28+($V$126-V29-CUSUM!F29))</f>
        <v>0</v>
      </c>
      <c r="X29" s="14">
        <v>90</v>
      </c>
      <c r="Y29" s="2">
        <f>MAX(0,Y28+($X$126-X29-CUSUM!F29))</f>
        <v>0.3902439024389821</v>
      </c>
      <c r="Z29" s="14">
        <v>90</v>
      </c>
      <c r="AA29" s="2">
        <f>MAX(0,AA28+($Z$126-Z29-CUSUM!F29))</f>
        <v>0</v>
      </c>
      <c r="AB29" s="14">
        <v>90</v>
      </c>
      <c r="AC29" s="2">
        <f>MAX(0,AC28+($AB$126-AB29-CUSUM!F29))</f>
        <v>0</v>
      </c>
      <c r="AD29" s="14">
        <v>93</v>
      </c>
      <c r="AE29" s="2">
        <f>MAX(0,AE28+($AD$126-AD29-CUSUM!F29))</f>
        <v>0</v>
      </c>
      <c r="AF29" s="14">
        <v>94</v>
      </c>
      <c r="AG29" s="2">
        <f>MAX(0,AG28+($AF$126-AF29-CUSUM!F29))</f>
        <v>0</v>
      </c>
      <c r="AH29" s="14">
        <v>97</v>
      </c>
      <c r="AI29" s="2">
        <f>MAX(0,AI28+($AH$126-AH29-CUSUM!F29))</f>
        <v>0</v>
      </c>
      <c r="AJ29" s="14">
        <v>82</v>
      </c>
      <c r="AK29" s="2">
        <f>MAX(0,AK28+($AJ$126-AJ29-CUSUM!F29))</f>
        <v>0</v>
      </c>
      <c r="AL29" s="14">
        <v>92</v>
      </c>
      <c r="AM29" s="2">
        <f>MAX(0,AM28+($AL$126-AL29-CUSUM!F29))</f>
        <v>0</v>
      </c>
      <c r="AN29" s="14">
        <v>92</v>
      </c>
      <c r="AO29" s="2">
        <f>MAX(0,AO28+($AN$126-AN29-CUSUM!F29))</f>
        <v>0</v>
      </c>
    </row>
    <row r="30" spans="1:41" x14ac:dyDescent="0.2">
      <c r="A30" s="8">
        <v>43674</v>
      </c>
      <c r="B30" s="14">
        <v>79</v>
      </c>
      <c r="C30" s="2">
        <f>MAX(0,C29+($B$126-B30-CUSUM!F30))</f>
        <v>6.4308943089430954</v>
      </c>
      <c r="D30" s="14">
        <v>91</v>
      </c>
      <c r="E30" s="2">
        <f>MAX(0,E29+($D$126-D30-CUSUM!F30))</f>
        <v>0</v>
      </c>
      <c r="F30" s="14">
        <v>88</v>
      </c>
      <c r="G30" s="2">
        <f>MAX(0,G29+($F$126-F30-CUSUM!F30))</f>
        <v>0.52032520325204246</v>
      </c>
      <c r="H30" s="14">
        <v>93</v>
      </c>
      <c r="I30" s="2">
        <f>MAX(0,I29+($H$126-H30-CUSUM!F30))</f>
        <v>0</v>
      </c>
      <c r="J30" s="14">
        <v>91</v>
      </c>
      <c r="K30" s="2">
        <f>MAX(0,K29+($J$126-J30-CUSUM!F30))</f>
        <v>2.1626016260162544</v>
      </c>
      <c r="L30" s="14">
        <v>84</v>
      </c>
      <c r="M30" s="2">
        <f>MAX(0,M29+($L$126-L30-CUSUM!F30))</f>
        <v>0</v>
      </c>
      <c r="N30" s="14">
        <v>91</v>
      </c>
      <c r="O30" s="2">
        <f>MAX(0,O29+($N$126-N30-CUSUM!F30))</f>
        <v>0</v>
      </c>
      <c r="P30" s="14">
        <v>89</v>
      </c>
      <c r="Q30" s="2">
        <f>MAX(0,Q29+($P$126-P30-CUSUM!F30))</f>
        <v>0</v>
      </c>
      <c r="R30" s="14">
        <v>89</v>
      </c>
      <c r="S30" s="2">
        <f>MAX(0,S29+($R$126-R30-CUSUM!F30))</f>
        <v>0</v>
      </c>
      <c r="T30" s="14">
        <v>90</v>
      </c>
      <c r="U30" s="2">
        <f>MAX(0,U29+($T$126-T30-CUSUM!F30))</f>
        <v>0</v>
      </c>
      <c r="V30" s="14">
        <v>96</v>
      </c>
      <c r="W30" s="2">
        <f>MAX(0,W29+($V$126-V30-CUSUM!F30))</f>
        <v>0</v>
      </c>
      <c r="X30" s="14">
        <v>89</v>
      </c>
      <c r="Y30" s="2">
        <f>MAX(0,Y29+($X$126-X30-CUSUM!F30))</f>
        <v>0</v>
      </c>
      <c r="Z30" s="14">
        <v>93</v>
      </c>
      <c r="AA30" s="2">
        <f>MAX(0,AA29+($Z$126-Z30-CUSUM!F30))</f>
        <v>0</v>
      </c>
      <c r="AB30" s="14">
        <v>89</v>
      </c>
      <c r="AC30" s="2">
        <f>MAX(0,AC29+($AB$126-AB30-CUSUM!F30))</f>
        <v>0</v>
      </c>
      <c r="AD30" s="14">
        <v>90</v>
      </c>
      <c r="AE30" s="2">
        <f>MAX(0,AE29+($AD$126-AD30-CUSUM!F30))</f>
        <v>0</v>
      </c>
      <c r="AF30" s="14">
        <v>90</v>
      </c>
      <c r="AG30" s="2">
        <f>MAX(0,AG29+($AF$126-AF30-CUSUM!F30))</f>
        <v>0</v>
      </c>
      <c r="AH30" s="14">
        <v>97</v>
      </c>
      <c r="AI30" s="2">
        <f>MAX(0,AI29+($AH$126-AH30-CUSUM!F30))</f>
        <v>0</v>
      </c>
      <c r="AJ30" s="14">
        <v>86</v>
      </c>
      <c r="AK30" s="2">
        <f>MAX(0,AK29+($AJ$126-AJ30-CUSUM!F30))</f>
        <v>0</v>
      </c>
      <c r="AL30" s="14">
        <v>90</v>
      </c>
      <c r="AM30" s="2">
        <f>MAX(0,AM29+($AL$126-AL30-CUSUM!F30))</f>
        <v>0</v>
      </c>
      <c r="AN30" s="14">
        <v>94</v>
      </c>
      <c r="AO30" s="2">
        <f>MAX(0,AO29+($AN$126-AN30-CUSUM!F30))</f>
        <v>0</v>
      </c>
    </row>
    <row r="31" spans="1:41" x14ac:dyDescent="0.2">
      <c r="A31" s="8">
        <v>43675</v>
      </c>
      <c r="B31" s="14">
        <v>90</v>
      </c>
      <c r="C31" s="2">
        <f>MAX(0,C30+($B$126-B31-CUSUM!F31))</f>
        <v>0.14634146341464316</v>
      </c>
      <c r="D31" s="14">
        <v>89</v>
      </c>
      <c r="E31" s="2">
        <f>MAX(0,E30+($D$126-D31-CUSUM!F31))</f>
        <v>0</v>
      </c>
      <c r="F31" s="14">
        <v>89</v>
      </c>
      <c r="G31" s="2">
        <f>MAX(0,G30+($F$126-F31-CUSUM!F31))</f>
        <v>0</v>
      </c>
      <c r="H31" s="14">
        <v>93</v>
      </c>
      <c r="I31" s="2">
        <f>MAX(0,I30+($H$126-H31-CUSUM!F31))</f>
        <v>0</v>
      </c>
      <c r="J31" s="14">
        <v>89</v>
      </c>
      <c r="K31" s="2">
        <f>MAX(0,K30+($J$126-J31-CUSUM!F31))</f>
        <v>0</v>
      </c>
      <c r="L31" s="14">
        <v>89</v>
      </c>
      <c r="M31" s="2">
        <f>MAX(0,M30+($L$126-L31-CUSUM!F31))</f>
        <v>0</v>
      </c>
      <c r="N31" s="14">
        <v>91</v>
      </c>
      <c r="O31" s="2">
        <f>MAX(0,O30+($N$126-N31-CUSUM!F31))</f>
        <v>0</v>
      </c>
      <c r="P31" s="14">
        <v>88</v>
      </c>
      <c r="Q31" s="2">
        <f>MAX(0,Q30+($P$126-P31-CUSUM!F31))</f>
        <v>0</v>
      </c>
      <c r="R31" s="14">
        <v>87</v>
      </c>
      <c r="S31" s="2">
        <f>MAX(0,S30+($R$126-R31-CUSUM!F31))</f>
        <v>0</v>
      </c>
      <c r="T31" s="14">
        <v>83</v>
      </c>
      <c r="U31" s="2">
        <f>MAX(0,U30+($T$126-T31-CUSUM!F31))</f>
        <v>0.35772357723577386</v>
      </c>
      <c r="V31" s="14">
        <v>91</v>
      </c>
      <c r="W31" s="2">
        <f>MAX(0,W30+($V$126-V31-CUSUM!F31))</f>
        <v>0</v>
      </c>
      <c r="X31" s="14">
        <v>87</v>
      </c>
      <c r="Y31" s="2">
        <f>MAX(0,Y30+($X$126-X31-CUSUM!F31))</f>
        <v>0</v>
      </c>
      <c r="Z31" s="14">
        <v>92</v>
      </c>
      <c r="AA31" s="2">
        <f>MAX(0,AA30+($Z$126-Z31-CUSUM!F31))</f>
        <v>0</v>
      </c>
      <c r="AB31" s="14">
        <v>85</v>
      </c>
      <c r="AC31" s="2">
        <f>MAX(0,AC30+($AB$126-AB31-CUSUM!F31))</f>
        <v>0</v>
      </c>
      <c r="AD31" s="14">
        <v>94</v>
      </c>
      <c r="AE31" s="2">
        <f>MAX(0,AE30+($AD$126-AD31-CUSUM!F31))</f>
        <v>0</v>
      </c>
      <c r="AF31" s="14">
        <v>93</v>
      </c>
      <c r="AG31" s="2">
        <f>MAX(0,AG30+($AF$126-AF31-CUSUM!F31))</f>
        <v>0</v>
      </c>
      <c r="AH31" s="14">
        <v>94</v>
      </c>
      <c r="AI31" s="2">
        <f>MAX(0,AI30+($AH$126-AH31-CUSUM!F31))</f>
        <v>0</v>
      </c>
      <c r="AJ31" s="14">
        <v>86</v>
      </c>
      <c r="AK31" s="2">
        <f>MAX(0,AK30+($AJ$126-AJ31-CUSUM!F31))</f>
        <v>0</v>
      </c>
      <c r="AL31" s="14">
        <v>82</v>
      </c>
      <c r="AM31" s="2">
        <f>MAX(0,AM30+($AL$126-AL31-CUSUM!F31))</f>
        <v>1.9430894308943039</v>
      </c>
      <c r="AN31" s="14">
        <v>93</v>
      </c>
      <c r="AO31" s="2">
        <f>MAX(0,AO30+($AN$126-AN31-CUSUM!F31))</f>
        <v>0</v>
      </c>
    </row>
    <row r="32" spans="1:41" x14ac:dyDescent="0.2">
      <c r="A32" s="8">
        <v>43676</v>
      </c>
      <c r="B32" s="14">
        <v>91</v>
      </c>
      <c r="C32" s="2">
        <f>MAX(0,C31+($B$126-B32-CUSUM!F32))</f>
        <v>0</v>
      </c>
      <c r="D32" s="14">
        <v>88</v>
      </c>
      <c r="E32" s="2">
        <f>MAX(0,E31+($D$126-D32-CUSUM!F32))</f>
        <v>0</v>
      </c>
      <c r="F32" s="14">
        <v>90</v>
      </c>
      <c r="G32" s="2">
        <f>MAX(0,G31+($F$126-F32-CUSUM!F32))</f>
        <v>0</v>
      </c>
      <c r="H32" s="14">
        <v>97</v>
      </c>
      <c r="I32" s="2">
        <f>MAX(0,I31+($H$126-H32-CUSUM!F32))</f>
        <v>0</v>
      </c>
      <c r="J32" s="14">
        <v>87</v>
      </c>
      <c r="K32" s="2">
        <f>MAX(0,K31+($J$126-J32-CUSUM!F32))</f>
        <v>0</v>
      </c>
      <c r="L32" s="14">
        <v>89</v>
      </c>
      <c r="M32" s="2">
        <f>MAX(0,M31+($L$126-L32-CUSUM!F32))</f>
        <v>0</v>
      </c>
      <c r="N32" s="14">
        <v>88</v>
      </c>
      <c r="O32" s="2">
        <f>MAX(0,O31+($N$126-N32-CUSUM!F32))</f>
        <v>0</v>
      </c>
      <c r="P32" s="14">
        <v>84</v>
      </c>
      <c r="Q32" s="2">
        <f>MAX(0,Q31+($P$126-P32-CUSUM!F32))</f>
        <v>0</v>
      </c>
      <c r="R32" s="14">
        <v>89</v>
      </c>
      <c r="S32" s="2">
        <f>MAX(0,S31+($R$126-R32-CUSUM!F32))</f>
        <v>0</v>
      </c>
      <c r="T32" s="14">
        <v>78</v>
      </c>
      <c r="U32" s="2">
        <f>MAX(0,U31+($T$126-T32-CUSUM!F32))</f>
        <v>5.7154471544715477</v>
      </c>
      <c r="V32" s="14">
        <v>91</v>
      </c>
      <c r="W32" s="2">
        <f>MAX(0,W31+($V$126-V32-CUSUM!F32))</f>
        <v>0</v>
      </c>
      <c r="X32" s="14">
        <v>92</v>
      </c>
      <c r="Y32" s="2">
        <f>MAX(0,Y31+($X$126-X32-CUSUM!F32))</f>
        <v>0</v>
      </c>
      <c r="Z32" s="14">
        <v>90</v>
      </c>
      <c r="AA32" s="2">
        <f>MAX(0,AA31+($Z$126-Z32-CUSUM!F32))</f>
        <v>0</v>
      </c>
      <c r="AB32" s="14">
        <v>82</v>
      </c>
      <c r="AC32" s="2">
        <f>MAX(0,AC31+($AB$126-AB32-CUSUM!F32))</f>
        <v>0</v>
      </c>
      <c r="AD32" s="14">
        <v>95</v>
      </c>
      <c r="AE32" s="2">
        <f>MAX(0,AE31+($AD$126-AD32-CUSUM!F32))</f>
        <v>0</v>
      </c>
      <c r="AF32" s="14">
        <v>96</v>
      </c>
      <c r="AG32" s="2">
        <f>MAX(0,AG31+($AF$126-AF32-CUSUM!F32))</f>
        <v>0</v>
      </c>
      <c r="AH32" s="14">
        <v>96</v>
      </c>
      <c r="AI32" s="2">
        <f>MAX(0,AI31+($AH$126-AH32-CUSUM!F32))</f>
        <v>0</v>
      </c>
      <c r="AJ32" s="14">
        <v>90</v>
      </c>
      <c r="AK32" s="2">
        <f>MAX(0,AK31+($AJ$126-AJ32-CUSUM!F32))</f>
        <v>0</v>
      </c>
      <c r="AL32" s="14">
        <v>84</v>
      </c>
      <c r="AM32" s="2">
        <f>MAX(0,AM31+($AL$126-AL32-CUSUM!F32))</f>
        <v>1.8861788617886077</v>
      </c>
      <c r="AN32" s="14">
        <v>94</v>
      </c>
      <c r="AO32" s="2">
        <f>MAX(0,AO31+($AN$126-AN32-CUSUM!F32))</f>
        <v>0</v>
      </c>
    </row>
    <row r="33" spans="1:41" x14ac:dyDescent="0.2">
      <c r="A33" s="8">
        <v>43677</v>
      </c>
      <c r="B33" s="14">
        <v>87</v>
      </c>
      <c r="C33" s="2">
        <f>MAX(0,C32+($B$126-B33-CUSUM!F33))</f>
        <v>0</v>
      </c>
      <c r="D33" s="14">
        <v>72</v>
      </c>
      <c r="E33" s="2">
        <f>MAX(0,E32+($D$126-D33-CUSUM!F33))</f>
        <v>9.674796747967477</v>
      </c>
      <c r="F33" s="14">
        <v>86</v>
      </c>
      <c r="G33" s="2">
        <f>MAX(0,G32+($F$126-F33-CUSUM!F33))</f>
        <v>0</v>
      </c>
      <c r="H33" s="14">
        <v>99</v>
      </c>
      <c r="I33" s="2">
        <f>MAX(0,I32+($H$126-H33-CUSUM!F33))</f>
        <v>0</v>
      </c>
      <c r="J33" s="14">
        <v>86</v>
      </c>
      <c r="K33" s="2">
        <f>MAX(0,K32+($J$126-J33-CUSUM!F33))</f>
        <v>0</v>
      </c>
      <c r="L33" s="14">
        <v>87</v>
      </c>
      <c r="M33" s="2">
        <f>MAX(0,M32+($L$126-L33-CUSUM!F33))</f>
        <v>0</v>
      </c>
      <c r="N33" s="14">
        <v>90</v>
      </c>
      <c r="O33" s="2">
        <f>MAX(0,O32+($N$126-N33-CUSUM!F33))</f>
        <v>0</v>
      </c>
      <c r="P33" s="14">
        <v>88</v>
      </c>
      <c r="Q33" s="2">
        <f>MAX(0,Q32+($P$126-P33-CUSUM!F33))</f>
        <v>0</v>
      </c>
      <c r="R33" s="14">
        <v>90</v>
      </c>
      <c r="S33" s="2">
        <f>MAX(0,S32+($R$126-R33-CUSUM!F33))</f>
        <v>0</v>
      </c>
      <c r="T33" s="14">
        <v>84</v>
      </c>
      <c r="U33" s="2">
        <f>MAX(0,U32+($T$126-T33-CUSUM!F33))</f>
        <v>5.0731707317073216</v>
      </c>
      <c r="V33" s="14">
        <v>94</v>
      </c>
      <c r="W33" s="2">
        <f>MAX(0,W32+($V$126-V33-CUSUM!F33))</f>
        <v>0</v>
      </c>
      <c r="X33" s="14">
        <v>90</v>
      </c>
      <c r="Y33" s="2">
        <f>MAX(0,Y32+($X$126-X33-CUSUM!F33))</f>
        <v>0</v>
      </c>
      <c r="Z33" s="14">
        <v>88</v>
      </c>
      <c r="AA33" s="2">
        <f>MAX(0,AA32+($Z$126-Z33-CUSUM!F33))</f>
        <v>0</v>
      </c>
      <c r="AB33" s="14">
        <v>85</v>
      </c>
      <c r="AC33" s="2">
        <f>MAX(0,AC32+($AB$126-AB33-CUSUM!F33))</f>
        <v>0</v>
      </c>
      <c r="AD33" s="14">
        <v>95</v>
      </c>
      <c r="AE33" s="2">
        <f>MAX(0,AE32+($AD$126-AD33-CUSUM!F33))</f>
        <v>0</v>
      </c>
      <c r="AF33" s="14">
        <v>96</v>
      </c>
      <c r="AG33" s="2">
        <f>MAX(0,AG32+($AF$126-AF33-CUSUM!F33))</f>
        <v>0</v>
      </c>
      <c r="AH33" s="14">
        <v>88</v>
      </c>
      <c r="AI33" s="2">
        <f>MAX(0,AI32+($AH$126-AH33-CUSUM!F33))</f>
        <v>0</v>
      </c>
      <c r="AJ33" s="14">
        <v>80</v>
      </c>
      <c r="AK33" s="2">
        <f>MAX(0,AK32+($AJ$126-AJ33-CUSUM!F33))</f>
        <v>1.6666666666666714</v>
      </c>
      <c r="AL33" s="14">
        <v>85</v>
      </c>
      <c r="AM33" s="2">
        <f>MAX(0,AM32+($AL$126-AL33-CUSUM!F33))</f>
        <v>0.82926829268291158</v>
      </c>
      <c r="AN33" s="14">
        <v>93</v>
      </c>
      <c r="AO33" s="2">
        <f>MAX(0,AO32+($AN$126-AN33-CUSUM!F33))</f>
        <v>0</v>
      </c>
    </row>
    <row r="34" spans="1:41" x14ac:dyDescent="0.2">
      <c r="A34" s="8">
        <v>43678</v>
      </c>
      <c r="B34" s="14">
        <v>86</v>
      </c>
      <c r="C34" s="2">
        <f>MAX(0,C33+($B$126-B34-CUSUM!F34))</f>
        <v>0</v>
      </c>
      <c r="D34" s="14">
        <v>80</v>
      </c>
      <c r="E34" s="2">
        <f>MAX(0,E33+($D$126-D34-CUSUM!F34))</f>
        <v>11.349593495934954</v>
      </c>
      <c r="F34" s="14">
        <v>86</v>
      </c>
      <c r="G34" s="2">
        <f>MAX(0,G33+($F$126-F34-CUSUM!F34))</f>
        <v>0</v>
      </c>
      <c r="H34" s="14">
        <v>96</v>
      </c>
      <c r="I34" s="2">
        <f>MAX(0,I33+($H$126-H34-CUSUM!F34))</f>
        <v>0</v>
      </c>
      <c r="J34" s="14">
        <v>86</v>
      </c>
      <c r="K34" s="2">
        <f>MAX(0,K33+($J$126-J34-CUSUM!F34))</f>
        <v>0</v>
      </c>
      <c r="L34" s="14">
        <v>84</v>
      </c>
      <c r="M34" s="2">
        <f>MAX(0,M33+($L$126-L34-CUSUM!F34))</f>
        <v>0</v>
      </c>
      <c r="N34" s="14">
        <v>93</v>
      </c>
      <c r="O34" s="2">
        <f>MAX(0,O33+($N$126-N34-CUSUM!F34))</f>
        <v>0</v>
      </c>
      <c r="P34" s="14">
        <v>84</v>
      </c>
      <c r="Q34" s="2">
        <f>MAX(0,Q33+($P$126-P34-CUSUM!F34))</f>
        <v>0</v>
      </c>
      <c r="R34" s="14">
        <v>91</v>
      </c>
      <c r="S34" s="2">
        <f>MAX(0,S33+($R$126-R34-CUSUM!F34))</f>
        <v>0</v>
      </c>
      <c r="T34" s="14">
        <v>82</v>
      </c>
      <c r="U34" s="2">
        <f>MAX(0,U33+($T$126-T34-CUSUM!F34))</f>
        <v>6.4308943089430954</v>
      </c>
      <c r="V34" s="14">
        <v>95</v>
      </c>
      <c r="W34" s="2">
        <f>MAX(0,W33+($V$126-V34-CUSUM!F34))</f>
        <v>0</v>
      </c>
      <c r="X34" s="14">
        <v>92</v>
      </c>
      <c r="Y34" s="2">
        <f>MAX(0,Y33+($X$126-X34-CUSUM!F34))</f>
        <v>0</v>
      </c>
      <c r="Z34" s="14">
        <v>89</v>
      </c>
      <c r="AA34" s="2">
        <f>MAX(0,AA33+($Z$126-Z34-CUSUM!F34))</f>
        <v>0</v>
      </c>
      <c r="AB34" s="14">
        <v>89</v>
      </c>
      <c r="AC34" s="2">
        <f>MAX(0,AC33+($AB$126-AB34-CUSUM!F34))</f>
        <v>0</v>
      </c>
      <c r="AD34" s="14">
        <v>96</v>
      </c>
      <c r="AE34" s="2">
        <f>MAX(0,AE33+($AD$126-AD34-CUSUM!F34))</f>
        <v>0</v>
      </c>
      <c r="AF34" s="14">
        <v>91</v>
      </c>
      <c r="AG34" s="2">
        <f>MAX(0,AG33+($AF$126-AF34-CUSUM!F34))</f>
        <v>0</v>
      </c>
      <c r="AH34" s="14">
        <v>94</v>
      </c>
      <c r="AI34" s="2">
        <f>MAX(0,AI33+($AH$126-AH34-CUSUM!F34))</f>
        <v>0</v>
      </c>
      <c r="AJ34" s="14">
        <v>87</v>
      </c>
      <c r="AK34" s="2">
        <f>MAX(0,AK33+($AJ$126-AJ34-CUSUM!F34))</f>
        <v>0</v>
      </c>
      <c r="AL34" s="14">
        <v>81</v>
      </c>
      <c r="AM34" s="2">
        <f>MAX(0,AM33+($AL$126-AL34-CUSUM!F34))</f>
        <v>3.7723577235772154</v>
      </c>
      <c r="AN34" s="14">
        <v>89</v>
      </c>
      <c r="AO34" s="2">
        <f>MAX(0,AO33+($AN$126-AN34-CUSUM!F34))</f>
        <v>0</v>
      </c>
    </row>
    <row r="35" spans="1:41" x14ac:dyDescent="0.2">
      <c r="A35" s="8">
        <v>43679</v>
      </c>
      <c r="B35" s="14">
        <v>90</v>
      </c>
      <c r="C35" s="2">
        <f>MAX(0,C34+($B$126-B35-CUSUM!F35))</f>
        <v>0</v>
      </c>
      <c r="D35" s="14">
        <v>84</v>
      </c>
      <c r="E35" s="2">
        <f>MAX(0,E34+($D$126-D35-CUSUM!F35))</f>
        <v>9.0243902439024311</v>
      </c>
      <c r="F35" s="14">
        <v>82</v>
      </c>
      <c r="G35" s="2">
        <f>MAX(0,G34+($F$126-F35-CUSUM!F35))</f>
        <v>2.2601626016260212</v>
      </c>
      <c r="H35" s="14">
        <v>93</v>
      </c>
      <c r="I35" s="2">
        <f>MAX(0,I34+($H$126-H35-CUSUM!F35))</f>
        <v>0</v>
      </c>
      <c r="J35" s="14">
        <v>81</v>
      </c>
      <c r="K35" s="2">
        <f>MAX(0,K34+($J$126-J35-CUSUM!F35))</f>
        <v>3.0325203252032509</v>
      </c>
      <c r="L35" s="14">
        <v>84</v>
      </c>
      <c r="M35" s="2">
        <f>MAX(0,M34+($L$126-L35-CUSUM!F35))</f>
        <v>0</v>
      </c>
      <c r="N35" s="14">
        <v>91</v>
      </c>
      <c r="O35" s="2">
        <f>MAX(0,O34+($N$126-N35-CUSUM!F35))</f>
        <v>0</v>
      </c>
      <c r="P35" s="14">
        <v>84</v>
      </c>
      <c r="Q35" s="2">
        <f>MAX(0,Q34+($P$126-P35-CUSUM!F35))</f>
        <v>0</v>
      </c>
      <c r="R35" s="14">
        <v>90</v>
      </c>
      <c r="S35" s="2">
        <f>MAX(0,S34+($R$126-R35-CUSUM!F35))</f>
        <v>0</v>
      </c>
      <c r="T35" s="14">
        <v>86</v>
      </c>
      <c r="U35" s="2">
        <f>MAX(0,U34+($T$126-T35-CUSUM!F35))</f>
        <v>3.7886178861788693</v>
      </c>
      <c r="V35" s="14">
        <v>95</v>
      </c>
      <c r="W35" s="2">
        <f>MAX(0,W34+($V$126-V35-CUSUM!F35))</f>
        <v>0</v>
      </c>
      <c r="X35" s="14">
        <v>92</v>
      </c>
      <c r="Y35" s="2">
        <f>MAX(0,Y34+($X$126-X35-CUSUM!F35))</f>
        <v>0</v>
      </c>
      <c r="Z35" s="14">
        <v>92</v>
      </c>
      <c r="AA35" s="2">
        <f>MAX(0,AA34+($Z$126-Z35-CUSUM!F35))</f>
        <v>0</v>
      </c>
      <c r="AB35" s="14">
        <v>83</v>
      </c>
      <c r="AC35" s="2">
        <f>MAX(0,AC34+($AB$126-AB35-CUSUM!F35))</f>
        <v>0</v>
      </c>
      <c r="AD35" s="14">
        <v>84</v>
      </c>
      <c r="AE35" s="2">
        <f>MAX(0,AE34+($AD$126-AD35-CUSUM!F35))</f>
        <v>3.2113821138211449</v>
      </c>
      <c r="AF35" s="14">
        <v>96</v>
      </c>
      <c r="AG35" s="2">
        <f>MAX(0,AG34+($AF$126-AF35-CUSUM!F35))</f>
        <v>0</v>
      </c>
      <c r="AH35" s="14">
        <v>99</v>
      </c>
      <c r="AI35" s="2">
        <f>MAX(0,AI34+($AH$126-AH35-CUSUM!F35))</f>
        <v>0</v>
      </c>
      <c r="AJ35" s="14">
        <v>89</v>
      </c>
      <c r="AK35" s="2">
        <f>MAX(0,AK34+($AJ$126-AJ35-CUSUM!F35))</f>
        <v>0</v>
      </c>
      <c r="AL35" s="14">
        <v>84</v>
      </c>
      <c r="AM35" s="2">
        <f>MAX(0,AM34+($AL$126-AL35-CUSUM!F35))</f>
        <v>3.7154471544715193</v>
      </c>
      <c r="AN35" s="14">
        <v>94</v>
      </c>
      <c r="AO35" s="2">
        <f>MAX(0,AO34+($AN$126-AN35-CUSUM!F35))</f>
        <v>0</v>
      </c>
    </row>
    <row r="36" spans="1:41" x14ac:dyDescent="0.2">
      <c r="A36" s="8">
        <v>43680</v>
      </c>
      <c r="B36" s="14">
        <v>84</v>
      </c>
      <c r="C36" s="2">
        <f>MAX(0,C35+($B$126-B36-CUSUM!F36))</f>
        <v>0</v>
      </c>
      <c r="D36" s="14">
        <v>88</v>
      </c>
      <c r="E36" s="2">
        <f>MAX(0,E35+($D$126-D36-CUSUM!F36))</f>
        <v>2.6991869918699081</v>
      </c>
      <c r="F36" s="14">
        <v>84</v>
      </c>
      <c r="G36" s="2">
        <f>MAX(0,G35+($F$126-F36-CUSUM!F36))</f>
        <v>2.5203252032520425</v>
      </c>
      <c r="H36" s="14">
        <v>88</v>
      </c>
      <c r="I36" s="2">
        <f>MAX(0,I35+($H$126-H36-CUSUM!F36))</f>
        <v>0</v>
      </c>
      <c r="J36" s="14">
        <v>84</v>
      </c>
      <c r="K36" s="2">
        <f>MAX(0,K35+($J$126-J36-CUSUM!F36))</f>
        <v>3.0650406504065018</v>
      </c>
      <c r="L36" s="14">
        <v>84</v>
      </c>
      <c r="M36" s="2">
        <f>MAX(0,M35+($L$126-L36-CUSUM!F36))</f>
        <v>0</v>
      </c>
      <c r="N36" s="14">
        <v>91</v>
      </c>
      <c r="O36" s="2">
        <f>MAX(0,O35+($N$126-N36-CUSUM!F36))</f>
        <v>0</v>
      </c>
      <c r="P36" s="14">
        <v>84</v>
      </c>
      <c r="Q36" s="2">
        <f>MAX(0,Q35+($P$126-P36-CUSUM!F36))</f>
        <v>0</v>
      </c>
      <c r="R36" s="14">
        <v>91</v>
      </c>
      <c r="S36" s="2">
        <f>MAX(0,S35+($R$126-R36-CUSUM!F36))</f>
        <v>0</v>
      </c>
      <c r="T36" s="14">
        <v>88</v>
      </c>
      <c r="U36" s="2">
        <f>MAX(0,U35+($T$126-T36-CUSUM!F36))</f>
        <v>0</v>
      </c>
      <c r="V36" s="14">
        <v>97</v>
      </c>
      <c r="W36" s="2">
        <f>MAX(0,W35+($V$126-V36-CUSUM!F36))</f>
        <v>0</v>
      </c>
      <c r="X36" s="14">
        <v>94</v>
      </c>
      <c r="Y36" s="2">
        <f>MAX(0,Y35+($X$126-X36-CUSUM!F36))</f>
        <v>0</v>
      </c>
      <c r="Z36" s="14">
        <v>91</v>
      </c>
      <c r="AA36" s="2">
        <f>MAX(0,AA35+($Z$126-Z36-CUSUM!F36))</f>
        <v>0</v>
      </c>
      <c r="AB36" s="14">
        <v>90</v>
      </c>
      <c r="AC36" s="2">
        <f>MAX(0,AC35+($AB$126-AB36-CUSUM!F36))</f>
        <v>0</v>
      </c>
      <c r="AD36" s="14">
        <v>92</v>
      </c>
      <c r="AE36" s="2">
        <f>MAX(0,AE35+($AD$126-AD36-CUSUM!F36))</f>
        <v>0</v>
      </c>
      <c r="AF36" s="14">
        <v>97</v>
      </c>
      <c r="AG36" s="2">
        <f>MAX(0,AG35+($AF$126-AF36-CUSUM!F36))</f>
        <v>0</v>
      </c>
      <c r="AH36" s="14">
        <v>94</v>
      </c>
      <c r="AI36" s="2">
        <f>MAX(0,AI35+($AH$126-AH36-CUSUM!F36))</f>
        <v>0</v>
      </c>
      <c r="AJ36" s="14">
        <v>88</v>
      </c>
      <c r="AK36" s="2">
        <f>MAX(0,AK35+($AJ$126-AJ36-CUSUM!F36))</f>
        <v>0</v>
      </c>
      <c r="AL36" s="14">
        <v>88</v>
      </c>
      <c r="AM36" s="2">
        <f>MAX(0,AM35+($AL$126-AL36-CUSUM!F36))</f>
        <v>0</v>
      </c>
      <c r="AN36" s="14">
        <v>94</v>
      </c>
      <c r="AO36" s="2">
        <f>MAX(0,AO35+($AN$126-AN36-CUSUM!F36))</f>
        <v>0</v>
      </c>
    </row>
    <row r="37" spans="1:41" x14ac:dyDescent="0.2">
      <c r="A37" s="8">
        <v>43681</v>
      </c>
      <c r="B37" s="14">
        <v>91</v>
      </c>
      <c r="C37" s="2">
        <f>MAX(0,C36+($B$126-B37-CUSUM!F37))</f>
        <v>0</v>
      </c>
      <c r="D37" s="14">
        <v>89</v>
      </c>
      <c r="E37" s="2">
        <f>MAX(0,E36+($D$126-D37-CUSUM!F37))</f>
        <v>0</v>
      </c>
      <c r="F37" s="14">
        <v>86</v>
      </c>
      <c r="G37" s="2">
        <f>MAX(0,G36+($F$126-F37-CUSUM!F37))</f>
        <v>0.78048780487806368</v>
      </c>
      <c r="H37" s="14">
        <v>89</v>
      </c>
      <c r="I37" s="2">
        <f>MAX(0,I36+($H$126-H37-CUSUM!F37))</f>
        <v>0</v>
      </c>
      <c r="J37" s="14">
        <v>88</v>
      </c>
      <c r="K37" s="2">
        <f>MAX(0,K36+($J$126-J37-CUSUM!F37))</f>
        <v>0</v>
      </c>
      <c r="L37" s="14">
        <v>86</v>
      </c>
      <c r="M37" s="2">
        <f>MAX(0,M36+($L$126-L37-CUSUM!F37))</f>
        <v>0</v>
      </c>
      <c r="N37" s="14">
        <v>91</v>
      </c>
      <c r="O37" s="2">
        <f>MAX(0,O36+($N$126-N37-CUSUM!F37))</f>
        <v>0</v>
      </c>
      <c r="P37" s="14">
        <v>82</v>
      </c>
      <c r="Q37" s="2">
        <f>MAX(0,Q36+($P$126-P37-CUSUM!F37))</f>
        <v>0</v>
      </c>
      <c r="R37" s="14">
        <v>91</v>
      </c>
      <c r="S37" s="2">
        <f>MAX(0,S36+($R$126-R37-CUSUM!F37))</f>
        <v>0</v>
      </c>
      <c r="T37" s="14">
        <v>91</v>
      </c>
      <c r="U37" s="2">
        <f>MAX(0,U36+($T$126-T37-CUSUM!F37))</f>
        <v>0</v>
      </c>
      <c r="V37" s="14">
        <v>98</v>
      </c>
      <c r="W37" s="2">
        <f>MAX(0,W36+($V$126-V37-CUSUM!F37))</f>
        <v>0</v>
      </c>
      <c r="X37" s="14">
        <v>97</v>
      </c>
      <c r="Y37" s="2">
        <f>MAX(0,Y36+($X$126-X37-CUSUM!F37))</f>
        <v>0</v>
      </c>
      <c r="Z37" s="14">
        <v>91</v>
      </c>
      <c r="AA37" s="2">
        <f>MAX(0,AA36+($Z$126-Z37-CUSUM!F37))</f>
        <v>0</v>
      </c>
      <c r="AB37" s="14">
        <v>92</v>
      </c>
      <c r="AC37" s="2">
        <f>MAX(0,AC36+($AB$126-AB37-CUSUM!F37))</f>
        <v>0</v>
      </c>
      <c r="AD37" s="14">
        <v>95</v>
      </c>
      <c r="AE37" s="2">
        <f>MAX(0,AE36+($AD$126-AD37-CUSUM!F37))</f>
        <v>0</v>
      </c>
      <c r="AF37" s="14">
        <v>85</v>
      </c>
      <c r="AG37" s="2">
        <f>MAX(0,AG36+($AF$126-AF37-CUSUM!F37))</f>
        <v>0.27642276422764667</v>
      </c>
      <c r="AH37" s="14">
        <v>87</v>
      </c>
      <c r="AI37" s="2">
        <f>MAX(0,AI36+($AH$126-AH37-CUSUM!F37))</f>
        <v>0</v>
      </c>
      <c r="AJ37" s="14">
        <v>90</v>
      </c>
      <c r="AK37" s="2">
        <f>MAX(0,AK36+($AJ$126-AJ37-CUSUM!F37))</f>
        <v>0</v>
      </c>
      <c r="AL37" s="14">
        <v>90</v>
      </c>
      <c r="AM37" s="2">
        <f>MAX(0,AM36+($AL$126-AL37-CUSUM!F37))</f>
        <v>0</v>
      </c>
      <c r="AN37" s="14">
        <v>97</v>
      </c>
      <c r="AO37" s="2">
        <f>MAX(0,AO36+($AN$126-AN37-CUSUM!F37))</f>
        <v>0</v>
      </c>
    </row>
    <row r="38" spans="1:41" x14ac:dyDescent="0.2">
      <c r="A38" s="8">
        <v>43682</v>
      </c>
      <c r="B38" s="14">
        <v>93</v>
      </c>
      <c r="C38" s="2">
        <f>MAX(0,C37+($B$126-B38-CUSUM!F38))</f>
        <v>0</v>
      </c>
      <c r="D38" s="14">
        <v>88</v>
      </c>
      <c r="E38" s="2">
        <f>MAX(0,E37+($D$126-D38-CUSUM!F38))</f>
        <v>0</v>
      </c>
      <c r="F38" s="14">
        <v>90</v>
      </c>
      <c r="G38" s="2">
        <f>MAX(0,G37+($F$126-F38-CUSUM!F38))</f>
        <v>0</v>
      </c>
      <c r="H38" s="14">
        <v>91</v>
      </c>
      <c r="I38" s="2">
        <f>MAX(0,I37+($H$126-H38-CUSUM!F38))</f>
        <v>0</v>
      </c>
      <c r="J38" s="14">
        <v>91</v>
      </c>
      <c r="K38" s="2">
        <f>MAX(0,K37+($J$126-J38-CUSUM!F38))</f>
        <v>0</v>
      </c>
      <c r="L38" s="14">
        <v>88</v>
      </c>
      <c r="M38" s="2">
        <f>MAX(0,M37+($L$126-L38-CUSUM!F38))</f>
        <v>0</v>
      </c>
      <c r="N38" s="14">
        <v>93</v>
      </c>
      <c r="O38" s="2">
        <f>MAX(0,O37+($N$126-N38-CUSUM!F38))</f>
        <v>0</v>
      </c>
      <c r="P38" s="14">
        <v>84</v>
      </c>
      <c r="Q38" s="2">
        <f>MAX(0,Q37+($P$126-P38-CUSUM!F38))</f>
        <v>0</v>
      </c>
      <c r="R38" s="14">
        <v>90</v>
      </c>
      <c r="S38" s="2">
        <f>MAX(0,S37+($R$126-R38-CUSUM!F38))</f>
        <v>0</v>
      </c>
      <c r="T38" s="14">
        <v>88</v>
      </c>
      <c r="U38" s="2">
        <f>MAX(0,U37+($T$126-T38-CUSUM!F38))</f>
        <v>0</v>
      </c>
      <c r="V38" s="14">
        <v>96</v>
      </c>
      <c r="W38" s="2">
        <f>MAX(0,W37+($V$126-V38-CUSUM!F38))</f>
        <v>0</v>
      </c>
      <c r="X38" s="14">
        <v>96</v>
      </c>
      <c r="Y38" s="2">
        <f>MAX(0,Y37+($X$126-X38-CUSUM!F38))</f>
        <v>0</v>
      </c>
      <c r="Z38" s="14">
        <v>92</v>
      </c>
      <c r="AA38" s="2">
        <f>MAX(0,AA37+($Z$126-Z38-CUSUM!F38))</f>
        <v>0</v>
      </c>
      <c r="AB38" s="14">
        <v>92</v>
      </c>
      <c r="AC38" s="2">
        <f>MAX(0,AC37+($AB$126-AB38-CUSUM!F38))</f>
        <v>0</v>
      </c>
      <c r="AD38" s="14">
        <v>93</v>
      </c>
      <c r="AE38" s="2">
        <f>MAX(0,AE37+($AD$126-AD38-CUSUM!F38))</f>
        <v>0</v>
      </c>
      <c r="AF38" s="14">
        <v>96</v>
      </c>
      <c r="AG38" s="2">
        <f>MAX(0,AG37+($AF$126-AF38-CUSUM!F38))</f>
        <v>0</v>
      </c>
      <c r="AH38" s="14">
        <v>90</v>
      </c>
      <c r="AI38" s="2">
        <f>MAX(0,AI37+($AH$126-AH38-CUSUM!F38))</f>
        <v>0</v>
      </c>
      <c r="AJ38" s="14">
        <v>88</v>
      </c>
      <c r="AK38" s="2">
        <f>MAX(0,AK37+($AJ$126-AJ38-CUSUM!F38))</f>
        <v>0</v>
      </c>
      <c r="AL38" s="14">
        <v>89</v>
      </c>
      <c r="AM38" s="2">
        <f>MAX(0,AM37+($AL$126-AL38-CUSUM!F38))</f>
        <v>0</v>
      </c>
      <c r="AN38" s="14">
        <v>95</v>
      </c>
      <c r="AO38" s="2">
        <f>MAX(0,AO37+($AN$126-AN38-CUSUM!F38))</f>
        <v>0</v>
      </c>
    </row>
    <row r="39" spans="1:41" x14ac:dyDescent="0.2">
      <c r="A39" s="8">
        <v>43683</v>
      </c>
      <c r="B39" s="14">
        <v>88</v>
      </c>
      <c r="C39" s="2">
        <f>MAX(0,C38+($B$126-B39-CUSUM!F39))</f>
        <v>0</v>
      </c>
      <c r="D39" s="14">
        <v>84</v>
      </c>
      <c r="E39" s="2">
        <f>MAX(0,E38+($D$126-D39-CUSUM!F39))</f>
        <v>0</v>
      </c>
      <c r="F39" s="14">
        <v>89</v>
      </c>
      <c r="G39" s="2">
        <f>MAX(0,G38+($F$126-F39-CUSUM!F39))</f>
        <v>0</v>
      </c>
      <c r="H39" s="14">
        <v>93</v>
      </c>
      <c r="I39" s="2">
        <f>MAX(0,I38+($H$126-H39-CUSUM!F39))</f>
        <v>0</v>
      </c>
      <c r="J39" s="14">
        <v>91</v>
      </c>
      <c r="K39" s="2">
        <f>MAX(0,K38+($J$126-J39-CUSUM!F39))</f>
        <v>0</v>
      </c>
      <c r="L39" s="14">
        <v>84</v>
      </c>
      <c r="M39" s="2">
        <f>MAX(0,M38+($L$126-L39-CUSUM!F39))</f>
        <v>0</v>
      </c>
      <c r="N39" s="14">
        <v>97</v>
      </c>
      <c r="O39" s="2">
        <f>MAX(0,O38+($N$126-N39-CUSUM!F39))</f>
        <v>0</v>
      </c>
      <c r="P39" s="14">
        <v>82</v>
      </c>
      <c r="Q39" s="2">
        <f>MAX(0,Q38+($P$126-P39-CUSUM!F39))</f>
        <v>0</v>
      </c>
      <c r="R39" s="14">
        <v>84</v>
      </c>
      <c r="S39" s="2">
        <f>MAX(0,S38+($R$126-R39-CUSUM!F39))</f>
        <v>0</v>
      </c>
      <c r="T39" s="14">
        <v>86</v>
      </c>
      <c r="U39" s="2">
        <f>MAX(0,U38+($T$126-T39-CUSUM!F39))</f>
        <v>0</v>
      </c>
      <c r="V39" s="14">
        <v>89</v>
      </c>
      <c r="W39" s="2">
        <f>MAX(0,W38+($V$126-V39-CUSUM!F39))</f>
        <v>0</v>
      </c>
      <c r="X39" s="14">
        <v>98</v>
      </c>
      <c r="Y39" s="2">
        <f>MAX(0,Y38+($X$126-X39-CUSUM!F39))</f>
        <v>0</v>
      </c>
      <c r="Z39" s="14">
        <v>94</v>
      </c>
      <c r="AA39" s="2">
        <f>MAX(0,AA38+($Z$126-Z39-CUSUM!F39))</f>
        <v>0</v>
      </c>
      <c r="AB39" s="14">
        <v>89</v>
      </c>
      <c r="AC39" s="2">
        <f>MAX(0,AC38+($AB$126-AB39-CUSUM!F39))</f>
        <v>0</v>
      </c>
      <c r="AD39" s="14">
        <v>93</v>
      </c>
      <c r="AE39" s="2">
        <f>MAX(0,AE38+($AD$126-AD39-CUSUM!F39))</f>
        <v>0</v>
      </c>
      <c r="AF39" s="14">
        <v>93</v>
      </c>
      <c r="AG39" s="2">
        <f>MAX(0,AG38+($AF$126-AF39-CUSUM!F39))</f>
        <v>0</v>
      </c>
      <c r="AH39" s="14">
        <v>86</v>
      </c>
      <c r="AI39" s="2">
        <f>MAX(0,AI38+($AH$126-AH39-CUSUM!F39))</f>
        <v>0</v>
      </c>
      <c r="AJ39" s="14">
        <v>88</v>
      </c>
      <c r="AK39" s="2">
        <f>MAX(0,AK38+($AJ$126-AJ39-CUSUM!F39))</f>
        <v>0</v>
      </c>
      <c r="AL39" s="14">
        <v>92</v>
      </c>
      <c r="AM39" s="2">
        <f>MAX(0,AM38+($AL$126-AL39-CUSUM!F39))</f>
        <v>0</v>
      </c>
      <c r="AN39" s="14">
        <v>88</v>
      </c>
      <c r="AO39" s="2">
        <f>MAX(0,AO38+($AN$126-AN39-CUSUM!F39))</f>
        <v>0</v>
      </c>
    </row>
    <row r="40" spans="1:41" x14ac:dyDescent="0.2">
      <c r="A40" s="8">
        <v>43684</v>
      </c>
      <c r="B40" s="14">
        <v>91</v>
      </c>
      <c r="C40" s="2">
        <f>MAX(0,C39+($B$126-B40-CUSUM!F40))</f>
        <v>0</v>
      </c>
      <c r="D40" s="14">
        <v>84</v>
      </c>
      <c r="E40" s="2">
        <f>MAX(0,E39+($D$126-D40-CUSUM!F40))</f>
        <v>0</v>
      </c>
      <c r="F40" s="14">
        <v>89</v>
      </c>
      <c r="G40" s="2">
        <f>MAX(0,G39+($F$126-F40-CUSUM!F40))</f>
        <v>0</v>
      </c>
      <c r="H40" s="14">
        <v>93</v>
      </c>
      <c r="I40" s="2">
        <f>MAX(0,I39+($H$126-H40-CUSUM!F40))</f>
        <v>0</v>
      </c>
      <c r="J40" s="14">
        <v>91</v>
      </c>
      <c r="K40" s="2">
        <f>MAX(0,K39+($J$126-J40-CUSUM!F40))</f>
        <v>0</v>
      </c>
      <c r="L40" s="14">
        <v>86</v>
      </c>
      <c r="M40" s="2">
        <f>MAX(0,M39+($L$126-L40-CUSUM!F40))</f>
        <v>0</v>
      </c>
      <c r="N40" s="14">
        <v>87</v>
      </c>
      <c r="O40" s="2">
        <f>MAX(0,O39+($N$126-N40-CUSUM!F40))</f>
        <v>0</v>
      </c>
      <c r="P40" s="14">
        <v>84</v>
      </c>
      <c r="Q40" s="2">
        <f>MAX(0,Q39+($P$126-P40-CUSUM!F40))</f>
        <v>0</v>
      </c>
      <c r="R40" s="14">
        <v>81</v>
      </c>
      <c r="S40" s="2">
        <f>MAX(0,S39+($R$126-R40-CUSUM!F40))</f>
        <v>0.76422764227642404</v>
      </c>
      <c r="T40" s="14">
        <v>80</v>
      </c>
      <c r="U40" s="2">
        <f>MAX(0,U39+($T$126-T40-CUSUM!F40))</f>
        <v>3.3577235772357739</v>
      </c>
      <c r="V40" s="14">
        <v>97</v>
      </c>
      <c r="W40" s="2">
        <f>MAX(0,W39+($V$126-V40-CUSUM!F40))</f>
        <v>0</v>
      </c>
      <c r="X40" s="14">
        <v>98</v>
      </c>
      <c r="Y40" s="2">
        <f>MAX(0,Y39+($X$126-X40-CUSUM!F40))</f>
        <v>0</v>
      </c>
      <c r="Z40" s="14">
        <v>90</v>
      </c>
      <c r="AA40" s="2">
        <f>MAX(0,AA39+($Z$126-Z40-CUSUM!F40))</f>
        <v>0</v>
      </c>
      <c r="AB40" s="14">
        <v>91</v>
      </c>
      <c r="AC40" s="2">
        <f>MAX(0,AC39+($AB$126-AB40-CUSUM!F40))</f>
        <v>0</v>
      </c>
      <c r="AD40" s="14">
        <v>91</v>
      </c>
      <c r="AE40" s="2">
        <f>MAX(0,AE39+($AD$126-AD40-CUSUM!F40))</f>
        <v>0</v>
      </c>
      <c r="AF40" s="14">
        <v>93</v>
      </c>
      <c r="AG40" s="2">
        <f>MAX(0,AG39+($AF$126-AF40-CUSUM!F40))</f>
        <v>0</v>
      </c>
      <c r="AH40" s="14">
        <v>84</v>
      </c>
      <c r="AI40" s="2">
        <f>MAX(0,AI39+($AH$126-AH40-CUSUM!F40))</f>
        <v>0.65040650406504597</v>
      </c>
      <c r="AJ40" s="14">
        <v>86</v>
      </c>
      <c r="AK40" s="2">
        <f>MAX(0,AK39+($AJ$126-AJ40-CUSUM!F40))</f>
        <v>0</v>
      </c>
      <c r="AL40" s="14">
        <v>95</v>
      </c>
      <c r="AM40" s="2">
        <f>MAX(0,AM39+($AL$126-AL40-CUSUM!F40))</f>
        <v>0</v>
      </c>
      <c r="AN40" s="14">
        <v>88</v>
      </c>
      <c r="AO40" s="2">
        <f>MAX(0,AO39+($AN$126-AN40-CUSUM!F40))</f>
        <v>0</v>
      </c>
    </row>
    <row r="41" spans="1:41" x14ac:dyDescent="0.2">
      <c r="A41" s="8">
        <v>43685</v>
      </c>
      <c r="B41" s="14">
        <v>84</v>
      </c>
      <c r="C41" s="2">
        <f>MAX(0,C40+($B$126-B41-CUSUM!F41))</f>
        <v>0</v>
      </c>
      <c r="D41" s="14">
        <v>80</v>
      </c>
      <c r="E41" s="2">
        <f>MAX(0,E40+($D$126-D41-CUSUM!F41))</f>
        <v>1.674796747967477</v>
      </c>
      <c r="F41" s="14">
        <v>86</v>
      </c>
      <c r="G41" s="2">
        <f>MAX(0,G40+($F$126-F41-CUSUM!F41))</f>
        <v>0</v>
      </c>
      <c r="H41" s="14">
        <v>93</v>
      </c>
      <c r="I41" s="2">
        <f>MAX(0,I40+($H$126-H41-CUSUM!F41))</f>
        <v>0</v>
      </c>
      <c r="J41" s="14">
        <v>91</v>
      </c>
      <c r="K41" s="2">
        <f>MAX(0,K40+($J$126-J41-CUSUM!F41))</f>
        <v>0</v>
      </c>
      <c r="L41" s="14">
        <v>88</v>
      </c>
      <c r="M41" s="2">
        <f>MAX(0,M40+($L$126-L41-CUSUM!F41))</f>
        <v>0</v>
      </c>
      <c r="N41" s="14">
        <v>87</v>
      </c>
      <c r="O41" s="2">
        <f>MAX(0,O40+($N$126-N41-CUSUM!F41))</f>
        <v>0</v>
      </c>
      <c r="P41" s="14">
        <v>84</v>
      </c>
      <c r="Q41" s="2">
        <f>MAX(0,Q40+($P$126-P41-CUSUM!F41))</f>
        <v>0</v>
      </c>
      <c r="R41" s="14">
        <v>82</v>
      </c>
      <c r="S41" s="2">
        <f>MAX(0,S40+($R$126-R41-CUSUM!F41))</f>
        <v>0.52845528455284807</v>
      </c>
      <c r="T41" s="14">
        <v>82</v>
      </c>
      <c r="U41" s="2">
        <f>MAX(0,U40+($T$126-T41-CUSUM!F41))</f>
        <v>4.7154471544715477</v>
      </c>
      <c r="V41" s="14">
        <v>96</v>
      </c>
      <c r="W41" s="2">
        <f>MAX(0,W40+($V$126-V41-CUSUM!F41))</f>
        <v>0</v>
      </c>
      <c r="X41" s="14">
        <v>100</v>
      </c>
      <c r="Y41" s="2">
        <f>MAX(0,Y40+($X$126-X41-CUSUM!F41))</f>
        <v>0</v>
      </c>
      <c r="Z41" s="14">
        <v>86</v>
      </c>
      <c r="AA41" s="2">
        <f>MAX(0,AA40+($Z$126-Z41-CUSUM!F41))</f>
        <v>0</v>
      </c>
      <c r="AB41" s="14">
        <v>92</v>
      </c>
      <c r="AC41" s="2">
        <f>MAX(0,AC40+($AB$126-AB41-CUSUM!F41))</f>
        <v>0</v>
      </c>
      <c r="AD41" s="14">
        <v>93</v>
      </c>
      <c r="AE41" s="2">
        <f>MAX(0,AE40+($AD$126-AD41-CUSUM!F41))</f>
        <v>0</v>
      </c>
      <c r="AF41" s="14">
        <v>94</v>
      </c>
      <c r="AG41" s="2">
        <f>MAX(0,AG40+($AF$126-AF41-CUSUM!F41))</f>
        <v>0</v>
      </c>
      <c r="AH41" s="14">
        <v>92</v>
      </c>
      <c r="AI41" s="2">
        <f>MAX(0,AI40+($AH$126-AH41-CUSUM!F41))</f>
        <v>0</v>
      </c>
      <c r="AJ41" s="14">
        <v>83</v>
      </c>
      <c r="AK41" s="2">
        <f>MAX(0,AK40+($AJ$126-AJ41-CUSUM!F41))</f>
        <v>0</v>
      </c>
      <c r="AL41" s="14">
        <v>90</v>
      </c>
      <c r="AM41" s="2">
        <f>MAX(0,AM40+($AL$126-AL41-CUSUM!F41))</f>
        <v>0</v>
      </c>
      <c r="AN41" s="14">
        <v>92</v>
      </c>
      <c r="AO41" s="2">
        <f>MAX(0,AO40+($AN$126-AN41-CUSUM!F41))</f>
        <v>0</v>
      </c>
    </row>
    <row r="42" spans="1:41" x14ac:dyDescent="0.2">
      <c r="A42" s="8">
        <v>43686</v>
      </c>
      <c r="B42" s="14">
        <v>90</v>
      </c>
      <c r="C42" s="2">
        <f>MAX(0,C41+($B$126-B42-CUSUM!F42))</f>
        <v>0</v>
      </c>
      <c r="D42" s="14">
        <v>73</v>
      </c>
      <c r="E42" s="2">
        <f>MAX(0,E41+($D$126-D42-CUSUM!F42))</f>
        <v>10.349593495934954</v>
      </c>
      <c r="F42" s="14">
        <v>82</v>
      </c>
      <c r="G42" s="2">
        <f>MAX(0,G41+($F$126-F42-CUSUM!F42))</f>
        <v>2.2601626016260212</v>
      </c>
      <c r="H42" s="14">
        <v>91</v>
      </c>
      <c r="I42" s="2">
        <f>MAX(0,I41+($H$126-H42-CUSUM!F42))</f>
        <v>0</v>
      </c>
      <c r="J42" s="14">
        <v>96</v>
      </c>
      <c r="K42" s="2">
        <f>MAX(0,K41+($J$126-J42-CUSUM!F42))</f>
        <v>0</v>
      </c>
      <c r="L42" s="14">
        <v>87</v>
      </c>
      <c r="M42" s="2">
        <f>MAX(0,M41+($L$126-L42-CUSUM!F42))</f>
        <v>0</v>
      </c>
      <c r="N42" s="14">
        <v>86</v>
      </c>
      <c r="O42" s="2">
        <f>MAX(0,O41+($N$126-N42-CUSUM!F42))</f>
        <v>0</v>
      </c>
      <c r="P42" s="14">
        <v>86</v>
      </c>
      <c r="Q42" s="2">
        <f>MAX(0,Q41+($P$126-P42-CUSUM!F42))</f>
        <v>0</v>
      </c>
      <c r="R42" s="14">
        <v>84</v>
      </c>
      <c r="S42" s="2">
        <f>MAX(0,S41+($R$126-R42-CUSUM!F42))</f>
        <v>0</v>
      </c>
      <c r="T42" s="14">
        <v>85</v>
      </c>
      <c r="U42" s="2">
        <f>MAX(0,U41+($T$126-T42-CUSUM!F42))</f>
        <v>3.0731707317073216</v>
      </c>
      <c r="V42" s="14">
        <v>95</v>
      </c>
      <c r="W42" s="2">
        <f>MAX(0,W41+($V$126-V42-CUSUM!F42))</f>
        <v>0</v>
      </c>
      <c r="X42" s="14">
        <v>103</v>
      </c>
      <c r="Y42" s="2">
        <f>MAX(0,Y41+($X$126-X42-CUSUM!F42))</f>
        <v>0</v>
      </c>
      <c r="Z42" s="14">
        <v>85</v>
      </c>
      <c r="AA42" s="2">
        <f>MAX(0,AA41+($Z$126-Z42-CUSUM!F42))</f>
        <v>0</v>
      </c>
      <c r="AB42" s="14">
        <v>93</v>
      </c>
      <c r="AC42" s="2">
        <f>MAX(0,AC41+($AB$126-AB42-CUSUM!F42))</f>
        <v>0</v>
      </c>
      <c r="AD42" s="14">
        <v>94</v>
      </c>
      <c r="AE42" s="2">
        <f>MAX(0,AE41+($AD$126-AD42-CUSUM!F42))</f>
        <v>0</v>
      </c>
      <c r="AF42" s="14">
        <v>91</v>
      </c>
      <c r="AG42" s="2">
        <f>MAX(0,AG41+($AF$126-AF42-CUSUM!F42))</f>
        <v>0</v>
      </c>
      <c r="AH42" s="14">
        <v>88</v>
      </c>
      <c r="AI42" s="2">
        <f>MAX(0,AI41+($AH$126-AH42-CUSUM!F42))</f>
        <v>0</v>
      </c>
      <c r="AJ42" s="14">
        <v>89</v>
      </c>
      <c r="AK42" s="2">
        <f>MAX(0,AK41+($AJ$126-AJ42-CUSUM!F42))</f>
        <v>0</v>
      </c>
      <c r="AL42" s="14">
        <v>89</v>
      </c>
      <c r="AM42" s="2">
        <f>MAX(0,AM41+($AL$126-AL42-CUSUM!F42))</f>
        <v>0</v>
      </c>
      <c r="AN42" s="14">
        <v>93</v>
      </c>
      <c r="AO42" s="2">
        <f>MAX(0,AO41+($AN$126-AN42-CUSUM!F42))</f>
        <v>0</v>
      </c>
    </row>
    <row r="43" spans="1:41" x14ac:dyDescent="0.2">
      <c r="A43" s="8">
        <v>43687</v>
      </c>
      <c r="B43" s="14">
        <v>89</v>
      </c>
      <c r="C43" s="2">
        <f>MAX(0,C42+($B$126-B43-CUSUM!F43))</f>
        <v>0</v>
      </c>
      <c r="D43" s="14">
        <v>80</v>
      </c>
      <c r="E43" s="2">
        <f>MAX(0,E42+($D$126-D43-CUSUM!F43))</f>
        <v>12.024390243902431</v>
      </c>
      <c r="F43" s="14">
        <v>87</v>
      </c>
      <c r="G43" s="2">
        <f>MAX(0,G42+($F$126-F43-CUSUM!F43))</f>
        <v>0</v>
      </c>
      <c r="H43" s="14">
        <v>90</v>
      </c>
      <c r="I43" s="2">
        <f>MAX(0,I42+($H$126-H43-CUSUM!F43))</f>
        <v>0</v>
      </c>
      <c r="J43" s="14">
        <v>95</v>
      </c>
      <c r="K43" s="2">
        <f>MAX(0,K42+($J$126-J43-CUSUM!F43))</f>
        <v>0</v>
      </c>
      <c r="L43" s="14">
        <v>88</v>
      </c>
      <c r="M43" s="2">
        <f>MAX(0,M42+($L$126-L43-CUSUM!F43))</f>
        <v>0</v>
      </c>
      <c r="N43" s="14">
        <v>88</v>
      </c>
      <c r="O43" s="2">
        <f>MAX(0,O42+($N$126-N43-CUSUM!F43))</f>
        <v>0</v>
      </c>
      <c r="P43" s="14">
        <v>87</v>
      </c>
      <c r="Q43" s="2">
        <f>MAX(0,Q42+($P$126-P43-CUSUM!F43))</f>
        <v>0</v>
      </c>
      <c r="R43" s="14">
        <v>75</v>
      </c>
      <c r="S43" s="2">
        <f>MAX(0,S42+($R$126-R43-CUSUM!F43))</f>
        <v>6.764227642276424</v>
      </c>
      <c r="T43" s="14">
        <v>83</v>
      </c>
      <c r="U43" s="2">
        <f>MAX(0,U42+($T$126-T43-CUSUM!F43))</f>
        <v>3.4308943089430954</v>
      </c>
      <c r="V43" s="14">
        <v>96</v>
      </c>
      <c r="W43" s="2">
        <f>MAX(0,W42+($V$126-V43-CUSUM!F43))</f>
        <v>0</v>
      </c>
      <c r="X43" s="14">
        <v>103</v>
      </c>
      <c r="Y43" s="2">
        <f>MAX(0,Y42+($X$126-X43-CUSUM!F43))</f>
        <v>0</v>
      </c>
      <c r="Z43" s="14">
        <v>85</v>
      </c>
      <c r="AA43" s="2">
        <f>MAX(0,AA42+($Z$126-Z43-CUSUM!F43))</f>
        <v>0</v>
      </c>
      <c r="AB43" s="14">
        <v>93</v>
      </c>
      <c r="AC43" s="2">
        <f>MAX(0,AC42+($AB$126-AB43-CUSUM!F43))</f>
        <v>0</v>
      </c>
      <c r="AD43" s="14">
        <v>94</v>
      </c>
      <c r="AE43" s="2">
        <f>MAX(0,AE42+($AD$126-AD43-CUSUM!F43))</f>
        <v>0</v>
      </c>
      <c r="AF43" s="14">
        <v>95</v>
      </c>
      <c r="AG43" s="2">
        <f>MAX(0,AG42+($AF$126-AF43-CUSUM!F43))</f>
        <v>0</v>
      </c>
      <c r="AH43" s="14">
        <v>87</v>
      </c>
      <c r="AI43" s="2">
        <f>MAX(0,AI42+($AH$126-AH43-CUSUM!F43))</f>
        <v>0</v>
      </c>
      <c r="AJ43" s="14">
        <v>90</v>
      </c>
      <c r="AK43" s="2">
        <f>MAX(0,AK42+($AJ$126-AJ43-CUSUM!F43))</f>
        <v>0</v>
      </c>
      <c r="AL43" s="14">
        <v>86</v>
      </c>
      <c r="AM43" s="2">
        <f>MAX(0,AM42+($AL$126-AL43-CUSUM!F43))</f>
        <v>0</v>
      </c>
      <c r="AN43" s="14">
        <v>94</v>
      </c>
      <c r="AO43" s="2">
        <f>MAX(0,AO42+($AN$126-AN43-CUSUM!F43))</f>
        <v>0</v>
      </c>
    </row>
    <row r="44" spans="1:41" x14ac:dyDescent="0.2">
      <c r="A44" s="8">
        <v>43688</v>
      </c>
      <c r="B44" s="14">
        <v>88</v>
      </c>
      <c r="C44" s="2">
        <f>MAX(0,C43+($B$126-B44-CUSUM!F44))</f>
        <v>0</v>
      </c>
      <c r="D44" s="14">
        <v>86</v>
      </c>
      <c r="E44" s="2">
        <f>MAX(0,E43+($D$126-D44-CUSUM!F44))</f>
        <v>7.6991869918699081</v>
      </c>
      <c r="F44" s="14">
        <v>88</v>
      </c>
      <c r="G44" s="2">
        <f>MAX(0,G43+($F$126-F44-CUSUM!F44))</f>
        <v>0</v>
      </c>
      <c r="H44" s="14">
        <v>96</v>
      </c>
      <c r="I44" s="2">
        <f>MAX(0,I43+($H$126-H44-CUSUM!F44))</f>
        <v>0</v>
      </c>
      <c r="J44" s="14">
        <v>89</v>
      </c>
      <c r="K44" s="2">
        <f>MAX(0,K43+($J$126-J44-CUSUM!F44))</f>
        <v>0</v>
      </c>
      <c r="L44" s="14">
        <v>86</v>
      </c>
      <c r="M44" s="2">
        <f>MAX(0,M43+($L$126-L44-CUSUM!F44))</f>
        <v>0</v>
      </c>
      <c r="N44" s="14">
        <v>89</v>
      </c>
      <c r="O44" s="2">
        <f>MAX(0,O43+($N$126-N44-CUSUM!F44))</f>
        <v>0</v>
      </c>
      <c r="P44" s="14">
        <v>84</v>
      </c>
      <c r="Q44" s="2">
        <f>MAX(0,Q43+($P$126-P44-CUSUM!F44))</f>
        <v>0</v>
      </c>
      <c r="R44" s="14">
        <v>82</v>
      </c>
      <c r="S44" s="2">
        <f>MAX(0,S43+($R$126-R44-CUSUM!F44))</f>
        <v>6.5284552845528481</v>
      </c>
      <c r="T44" s="14">
        <v>87</v>
      </c>
      <c r="U44" s="2">
        <f>MAX(0,U43+($T$126-T44-CUSUM!F44))</f>
        <v>0</v>
      </c>
      <c r="V44" s="14">
        <v>88</v>
      </c>
      <c r="W44" s="2">
        <f>MAX(0,W43+($V$126-V44-CUSUM!F44))</f>
        <v>0</v>
      </c>
      <c r="X44" s="14">
        <v>100</v>
      </c>
      <c r="Y44" s="2">
        <f>MAX(0,Y43+($X$126-X44-CUSUM!F44))</f>
        <v>0</v>
      </c>
      <c r="Z44" s="14">
        <v>88</v>
      </c>
      <c r="AA44" s="2">
        <f>MAX(0,AA43+($Z$126-Z44-CUSUM!F44))</f>
        <v>0</v>
      </c>
      <c r="AB44" s="14">
        <v>95</v>
      </c>
      <c r="AC44" s="2">
        <f>MAX(0,AC43+($AB$126-AB44-CUSUM!F44))</f>
        <v>0</v>
      </c>
      <c r="AD44" s="14">
        <v>95</v>
      </c>
      <c r="AE44" s="2">
        <f>MAX(0,AE43+($AD$126-AD44-CUSUM!F44))</f>
        <v>0</v>
      </c>
      <c r="AF44" s="14">
        <v>94</v>
      </c>
      <c r="AG44" s="2">
        <f>MAX(0,AG43+($AF$126-AF44-CUSUM!F44))</f>
        <v>0</v>
      </c>
      <c r="AH44" s="14">
        <v>85</v>
      </c>
      <c r="AI44" s="2">
        <f>MAX(0,AI43+($AH$126-AH44-CUSUM!F44))</f>
        <v>0</v>
      </c>
      <c r="AJ44" s="14">
        <v>90</v>
      </c>
      <c r="AK44" s="2">
        <f>MAX(0,AK43+($AJ$126-AJ44-CUSUM!F44))</f>
        <v>0</v>
      </c>
      <c r="AL44" s="14">
        <v>83</v>
      </c>
      <c r="AM44" s="2">
        <f>MAX(0,AM43+($AL$126-AL44-CUSUM!F44))</f>
        <v>0.94308943089430386</v>
      </c>
      <c r="AN44" s="14">
        <v>91</v>
      </c>
      <c r="AO44" s="2">
        <f>MAX(0,AO43+($AN$126-AN44-CUSUM!F44))</f>
        <v>0</v>
      </c>
    </row>
    <row r="45" spans="1:41" x14ac:dyDescent="0.2">
      <c r="A45" s="8">
        <v>43689</v>
      </c>
      <c r="B45" s="14">
        <v>86</v>
      </c>
      <c r="C45" s="2">
        <f>MAX(0,C44+($B$126-B45-CUSUM!F45))</f>
        <v>0</v>
      </c>
      <c r="D45" s="14">
        <v>88</v>
      </c>
      <c r="E45" s="2">
        <f>MAX(0,E44+($D$126-D45-CUSUM!F45))</f>
        <v>1.3739837398373851</v>
      </c>
      <c r="F45" s="14">
        <v>84</v>
      </c>
      <c r="G45" s="2">
        <f>MAX(0,G44+($F$126-F45-CUSUM!F45))</f>
        <v>0.26016260162602123</v>
      </c>
      <c r="H45" s="14">
        <v>98</v>
      </c>
      <c r="I45" s="2">
        <f>MAX(0,I44+($H$126-H45-CUSUM!F45))</f>
        <v>0</v>
      </c>
      <c r="J45" s="14">
        <v>89</v>
      </c>
      <c r="K45" s="2">
        <f>MAX(0,K44+($J$126-J45-CUSUM!F45))</f>
        <v>0</v>
      </c>
      <c r="L45" s="14">
        <v>86</v>
      </c>
      <c r="M45" s="2">
        <f>MAX(0,M44+($L$126-L45-CUSUM!F45))</f>
        <v>0</v>
      </c>
      <c r="N45" s="14">
        <v>91</v>
      </c>
      <c r="O45" s="2">
        <f>MAX(0,O44+($N$126-N45-CUSUM!F45))</f>
        <v>0</v>
      </c>
      <c r="P45" s="14">
        <v>81</v>
      </c>
      <c r="Q45" s="2">
        <f>MAX(0,Q44+($P$126-P45-CUSUM!F45))</f>
        <v>0.47967479674797175</v>
      </c>
      <c r="R45" s="14">
        <v>80</v>
      </c>
      <c r="S45" s="2">
        <f>MAX(0,S44+($R$126-R45-CUSUM!F45))</f>
        <v>8.2926829268292721</v>
      </c>
      <c r="T45" s="14">
        <v>88</v>
      </c>
      <c r="U45" s="2">
        <f>MAX(0,U44+($T$126-T45-CUSUM!F45))</f>
        <v>0</v>
      </c>
      <c r="V45" s="14">
        <v>84</v>
      </c>
      <c r="W45" s="2">
        <f>MAX(0,W44+($V$126-V45-CUSUM!F45))</f>
        <v>0</v>
      </c>
      <c r="X45" s="14">
        <v>90</v>
      </c>
      <c r="Y45" s="2">
        <f>MAX(0,Y44+($X$126-X45-CUSUM!F45))</f>
        <v>0</v>
      </c>
      <c r="Z45" s="14">
        <v>81</v>
      </c>
      <c r="AA45" s="2">
        <f>MAX(0,AA44+($Z$126-Z45-CUSUM!F45))</f>
        <v>1.5121951219512226</v>
      </c>
      <c r="AB45" s="14">
        <v>86</v>
      </c>
      <c r="AC45" s="2">
        <f>MAX(0,AC44+($AB$126-AB45-CUSUM!F45))</f>
        <v>0</v>
      </c>
      <c r="AD45" s="14">
        <v>95</v>
      </c>
      <c r="AE45" s="2">
        <f>MAX(0,AE44+($AD$126-AD45-CUSUM!F45))</f>
        <v>0</v>
      </c>
      <c r="AF45" s="14">
        <v>95</v>
      </c>
      <c r="AG45" s="2">
        <f>MAX(0,AG44+($AF$126-AF45-CUSUM!F45))</f>
        <v>0</v>
      </c>
      <c r="AH45" s="14">
        <v>88</v>
      </c>
      <c r="AI45" s="2">
        <f>MAX(0,AI44+($AH$126-AH45-CUSUM!F45))</f>
        <v>0</v>
      </c>
      <c r="AJ45" s="14">
        <v>90</v>
      </c>
      <c r="AK45" s="2">
        <f>MAX(0,AK44+($AJ$126-AJ45-CUSUM!F45))</f>
        <v>0</v>
      </c>
      <c r="AL45" s="14">
        <v>88</v>
      </c>
      <c r="AM45" s="2">
        <f>MAX(0,AM44+($AL$126-AL45-CUSUM!F45))</f>
        <v>0</v>
      </c>
      <c r="AN45" s="14">
        <v>90</v>
      </c>
      <c r="AO45" s="2">
        <f>MAX(0,AO44+($AN$126-AN45-CUSUM!F45))</f>
        <v>0</v>
      </c>
    </row>
    <row r="46" spans="1:41" x14ac:dyDescent="0.2">
      <c r="A46" s="8">
        <v>43690</v>
      </c>
      <c r="B46" s="14">
        <v>84</v>
      </c>
      <c r="C46" s="2">
        <f>MAX(0,C45+($B$126-B46-CUSUM!F46))</f>
        <v>0</v>
      </c>
      <c r="D46" s="14">
        <v>88</v>
      </c>
      <c r="E46" s="2">
        <f>MAX(0,E45+($D$126-D46-CUSUM!F46))</f>
        <v>0</v>
      </c>
      <c r="F46" s="14">
        <v>86</v>
      </c>
      <c r="G46" s="2">
        <f>MAX(0,G45+($F$126-F46-CUSUM!F46))</f>
        <v>0</v>
      </c>
      <c r="H46" s="14">
        <v>97</v>
      </c>
      <c r="I46" s="2">
        <f>MAX(0,I45+($H$126-H46-CUSUM!F46))</f>
        <v>0</v>
      </c>
      <c r="J46" s="14">
        <v>89</v>
      </c>
      <c r="K46" s="2">
        <f>MAX(0,K45+($J$126-J46-CUSUM!F46))</f>
        <v>0</v>
      </c>
      <c r="L46" s="14">
        <v>81</v>
      </c>
      <c r="M46" s="2">
        <f>MAX(0,M45+($L$126-L46-CUSUM!F46))</f>
        <v>0.55284552845527912</v>
      </c>
      <c r="N46" s="14">
        <v>91</v>
      </c>
      <c r="O46" s="2">
        <f>MAX(0,O45+($N$126-N46-CUSUM!F46))</f>
        <v>0</v>
      </c>
      <c r="P46" s="14">
        <v>87</v>
      </c>
      <c r="Q46" s="2">
        <f>MAX(0,Q45+($P$126-P46-CUSUM!F46))</f>
        <v>0</v>
      </c>
      <c r="R46" s="14">
        <v>77</v>
      </c>
      <c r="S46" s="2">
        <f>MAX(0,S45+($R$126-R46-CUSUM!F46))</f>
        <v>13.056910569105696</v>
      </c>
      <c r="T46" s="14">
        <v>86</v>
      </c>
      <c r="U46" s="2">
        <f>MAX(0,U45+($T$126-T46-CUSUM!F46))</f>
        <v>0</v>
      </c>
      <c r="V46" s="14">
        <v>81</v>
      </c>
      <c r="W46" s="2">
        <f>MAX(0,W45+($V$126-V46-CUSUM!F46))</f>
        <v>2.0487804878048763</v>
      </c>
      <c r="X46" s="14">
        <v>100</v>
      </c>
      <c r="Y46" s="2">
        <f>MAX(0,Y45+($X$126-X46-CUSUM!F46))</f>
        <v>0</v>
      </c>
      <c r="Z46" s="14">
        <v>81</v>
      </c>
      <c r="AA46" s="2">
        <f>MAX(0,AA45+($Z$126-Z46-CUSUM!F46))</f>
        <v>3.0243902439024453</v>
      </c>
      <c r="AB46" s="14">
        <v>90</v>
      </c>
      <c r="AC46" s="2">
        <f>MAX(0,AC45+($AB$126-AB46-CUSUM!F46))</f>
        <v>0</v>
      </c>
      <c r="AD46" s="14">
        <v>96</v>
      </c>
      <c r="AE46" s="2">
        <f>MAX(0,AE45+($AD$126-AD46-CUSUM!F46))</f>
        <v>0</v>
      </c>
      <c r="AF46" s="14">
        <v>95</v>
      </c>
      <c r="AG46" s="2">
        <f>MAX(0,AG45+($AF$126-AF46-CUSUM!F46))</f>
        <v>0</v>
      </c>
      <c r="AH46" s="14">
        <v>91</v>
      </c>
      <c r="AI46" s="2">
        <f>MAX(0,AI45+($AH$126-AH46-CUSUM!F46))</f>
        <v>0</v>
      </c>
      <c r="AJ46" s="14">
        <v>89</v>
      </c>
      <c r="AK46" s="2">
        <f>MAX(0,AK45+($AJ$126-AJ46-CUSUM!F46))</f>
        <v>0</v>
      </c>
      <c r="AL46" s="14">
        <v>84</v>
      </c>
      <c r="AM46" s="2">
        <f>MAX(0,AM45+($AL$126-AL46-CUSUM!F46))</f>
        <v>0</v>
      </c>
      <c r="AN46" s="14">
        <v>89</v>
      </c>
      <c r="AO46" s="2">
        <f>MAX(0,AO45+($AN$126-AN46-CUSUM!F46))</f>
        <v>0</v>
      </c>
    </row>
    <row r="47" spans="1:41" x14ac:dyDescent="0.2">
      <c r="A47" s="8">
        <v>43691</v>
      </c>
      <c r="B47" s="14">
        <v>86</v>
      </c>
      <c r="C47" s="2">
        <f>MAX(0,C46+($B$126-B47-CUSUM!F47))</f>
        <v>0</v>
      </c>
      <c r="D47" s="14">
        <v>87</v>
      </c>
      <c r="E47" s="2">
        <f>MAX(0,E46+($D$126-D47-CUSUM!F47))</f>
        <v>0</v>
      </c>
      <c r="F47" s="14">
        <v>80</v>
      </c>
      <c r="G47" s="2">
        <f>MAX(0,G46+($F$126-F47-CUSUM!F47))</f>
        <v>4.2601626016260212</v>
      </c>
      <c r="H47" s="14">
        <v>98</v>
      </c>
      <c r="I47" s="2">
        <f>MAX(0,I46+($H$126-H47-CUSUM!F47))</f>
        <v>0</v>
      </c>
      <c r="J47" s="14">
        <v>89</v>
      </c>
      <c r="K47" s="2">
        <f>MAX(0,K46+($J$126-J47-CUSUM!F47))</f>
        <v>0</v>
      </c>
      <c r="L47" s="14">
        <v>87</v>
      </c>
      <c r="M47" s="2">
        <f>MAX(0,M46+($L$126-L47-CUSUM!F47))</f>
        <v>0</v>
      </c>
      <c r="N47" s="14">
        <v>89</v>
      </c>
      <c r="O47" s="2">
        <f>MAX(0,O46+($N$126-N47-CUSUM!F47))</f>
        <v>0</v>
      </c>
      <c r="P47" s="14">
        <v>89</v>
      </c>
      <c r="Q47" s="2">
        <f>MAX(0,Q46+($P$126-P47-CUSUM!F47))</f>
        <v>0</v>
      </c>
      <c r="R47" s="14">
        <v>82</v>
      </c>
      <c r="S47" s="2">
        <f>MAX(0,S46+($R$126-R47-CUSUM!F47))</f>
        <v>12.82113821138212</v>
      </c>
      <c r="T47" s="14">
        <v>90</v>
      </c>
      <c r="U47" s="2">
        <f>MAX(0,U46+($T$126-T47-CUSUM!F47))</f>
        <v>0</v>
      </c>
      <c r="V47" s="14">
        <v>87</v>
      </c>
      <c r="W47" s="2">
        <f>MAX(0,W46+($V$126-V47-CUSUM!F47))</f>
        <v>0</v>
      </c>
      <c r="X47" s="14">
        <v>99</v>
      </c>
      <c r="Y47" s="2">
        <f>MAX(0,Y46+($X$126-X47-CUSUM!F47))</f>
        <v>0</v>
      </c>
      <c r="Z47" s="14">
        <v>84</v>
      </c>
      <c r="AA47" s="2">
        <f>MAX(0,AA46+($Z$126-Z47-CUSUM!F47))</f>
        <v>1.5365853658536679</v>
      </c>
      <c r="AB47" s="14">
        <v>90</v>
      </c>
      <c r="AC47" s="2">
        <f>MAX(0,AC46+($AB$126-AB47-CUSUM!F47))</f>
        <v>0</v>
      </c>
      <c r="AD47" s="14">
        <v>89</v>
      </c>
      <c r="AE47" s="2">
        <f>MAX(0,AE46+($AD$126-AD47-CUSUM!F47))</f>
        <v>0</v>
      </c>
      <c r="AF47" s="14">
        <v>94</v>
      </c>
      <c r="AG47" s="2">
        <f>MAX(0,AG46+($AF$126-AF47-CUSUM!F47))</f>
        <v>0</v>
      </c>
      <c r="AH47" s="14">
        <v>88</v>
      </c>
      <c r="AI47" s="2">
        <f>MAX(0,AI46+($AH$126-AH47-CUSUM!F47))</f>
        <v>0</v>
      </c>
      <c r="AJ47" s="14">
        <v>83</v>
      </c>
      <c r="AK47" s="2">
        <f>MAX(0,AK46+($AJ$126-AJ47-CUSUM!F47))</f>
        <v>0</v>
      </c>
      <c r="AL47" s="14">
        <v>85</v>
      </c>
      <c r="AM47" s="2">
        <f>MAX(0,AM46+($AL$126-AL47-CUSUM!F47))</f>
        <v>0</v>
      </c>
      <c r="AN47" s="14">
        <v>90</v>
      </c>
      <c r="AO47" s="2">
        <f>MAX(0,AO46+($AN$126-AN47-CUSUM!F47))</f>
        <v>0</v>
      </c>
    </row>
    <row r="48" spans="1:41" x14ac:dyDescent="0.2">
      <c r="A48" s="8">
        <v>43692</v>
      </c>
      <c r="B48" s="14">
        <v>89</v>
      </c>
      <c r="C48" s="2">
        <f>MAX(0,C47+($B$126-B48-CUSUM!F48))</f>
        <v>0</v>
      </c>
      <c r="D48" s="14">
        <v>88</v>
      </c>
      <c r="E48" s="2">
        <f>MAX(0,E47+($D$126-D48-CUSUM!F48))</f>
        <v>0</v>
      </c>
      <c r="F48" s="14">
        <v>82</v>
      </c>
      <c r="G48" s="2">
        <f>MAX(0,G47+($F$126-F48-CUSUM!F48))</f>
        <v>6.5203252032520425</v>
      </c>
      <c r="H48" s="14">
        <v>93</v>
      </c>
      <c r="I48" s="2">
        <f>MAX(0,I47+($H$126-H48-CUSUM!F48))</f>
        <v>0</v>
      </c>
      <c r="J48" s="14">
        <v>94</v>
      </c>
      <c r="K48" s="2">
        <f>MAX(0,K47+($J$126-J48-CUSUM!F48))</f>
        <v>0</v>
      </c>
      <c r="L48" s="14">
        <v>84</v>
      </c>
      <c r="M48" s="2">
        <f>MAX(0,M47+($L$126-L48-CUSUM!F48))</f>
        <v>0</v>
      </c>
      <c r="N48" s="14">
        <v>88</v>
      </c>
      <c r="O48" s="2">
        <f>MAX(0,O47+($N$126-N48-CUSUM!F48))</f>
        <v>0</v>
      </c>
      <c r="P48" s="14">
        <v>90</v>
      </c>
      <c r="Q48" s="2">
        <f>MAX(0,Q47+($P$126-P48-CUSUM!F48))</f>
        <v>0</v>
      </c>
      <c r="R48" s="14">
        <v>82</v>
      </c>
      <c r="S48" s="2">
        <f>MAX(0,S47+($R$126-R48-CUSUM!F48))</f>
        <v>12.585365853658544</v>
      </c>
      <c r="T48" s="14">
        <v>92</v>
      </c>
      <c r="U48" s="2">
        <f>MAX(0,U47+($T$126-T48-CUSUM!F48))</f>
        <v>0</v>
      </c>
      <c r="V48" s="14">
        <v>86</v>
      </c>
      <c r="W48" s="2">
        <f>MAX(0,W47+($V$126-V48-CUSUM!F48))</f>
        <v>0</v>
      </c>
      <c r="X48" s="14">
        <v>102</v>
      </c>
      <c r="Y48" s="2">
        <f>MAX(0,Y47+($X$126-X48-CUSUM!F48))</f>
        <v>0</v>
      </c>
      <c r="Z48" s="14">
        <v>87</v>
      </c>
      <c r="AA48" s="2">
        <f>MAX(0,AA47+($Z$126-Z48-CUSUM!F48))</f>
        <v>0</v>
      </c>
      <c r="AB48" s="14">
        <v>90</v>
      </c>
      <c r="AC48" s="2">
        <f>MAX(0,AC47+($AB$126-AB48-CUSUM!F48))</f>
        <v>0</v>
      </c>
      <c r="AD48" s="14">
        <v>90</v>
      </c>
      <c r="AE48" s="2">
        <f>MAX(0,AE47+($AD$126-AD48-CUSUM!F48))</f>
        <v>0</v>
      </c>
      <c r="AF48" s="14">
        <v>88</v>
      </c>
      <c r="AG48" s="2">
        <f>MAX(0,AG47+($AF$126-AF48-CUSUM!F48))</f>
        <v>0</v>
      </c>
      <c r="AH48" s="14">
        <v>85</v>
      </c>
      <c r="AI48" s="2">
        <f>MAX(0,AI47+($AH$126-AH48-CUSUM!F48))</f>
        <v>0</v>
      </c>
      <c r="AJ48" s="14">
        <v>73</v>
      </c>
      <c r="AK48" s="2">
        <f>MAX(0,AK47+($AJ$126-AJ48-CUSUM!F48))</f>
        <v>8.6666666666666714</v>
      </c>
      <c r="AL48" s="14">
        <v>87</v>
      </c>
      <c r="AM48" s="2">
        <f>MAX(0,AM47+($AL$126-AL48-CUSUM!F48))</f>
        <v>0</v>
      </c>
      <c r="AN48" s="14">
        <v>90</v>
      </c>
      <c r="AO48" s="2">
        <f>MAX(0,AO47+($AN$126-AN48-CUSUM!F48))</f>
        <v>0</v>
      </c>
    </row>
    <row r="49" spans="1:41" x14ac:dyDescent="0.2">
      <c r="A49" s="8">
        <v>43693</v>
      </c>
      <c r="B49" s="14">
        <v>90</v>
      </c>
      <c r="C49" s="2">
        <f>MAX(0,C48+($B$126-B49-CUSUM!F49))</f>
        <v>0</v>
      </c>
      <c r="D49" s="14">
        <v>91</v>
      </c>
      <c r="E49" s="2">
        <f>MAX(0,E48+($D$126-D49-CUSUM!F49))</f>
        <v>0</v>
      </c>
      <c r="F49" s="14">
        <v>86</v>
      </c>
      <c r="G49" s="2">
        <f>MAX(0,G48+($F$126-F49-CUSUM!F49))</f>
        <v>4.7804878048780637</v>
      </c>
      <c r="H49" s="14">
        <v>93</v>
      </c>
      <c r="I49" s="2">
        <f>MAX(0,I48+($H$126-H49-CUSUM!F49))</f>
        <v>0</v>
      </c>
      <c r="J49" s="14">
        <v>97</v>
      </c>
      <c r="K49" s="2">
        <f>MAX(0,K48+($J$126-J49-CUSUM!F49))</f>
        <v>0</v>
      </c>
      <c r="L49" s="14">
        <v>90</v>
      </c>
      <c r="M49" s="2">
        <f>MAX(0,M48+($L$126-L49-CUSUM!F49))</f>
        <v>0</v>
      </c>
      <c r="N49" s="14">
        <v>90</v>
      </c>
      <c r="O49" s="2">
        <f>MAX(0,O48+($N$126-N49-CUSUM!F49))</f>
        <v>0</v>
      </c>
      <c r="P49" s="14">
        <v>86</v>
      </c>
      <c r="Q49" s="2">
        <f>MAX(0,Q48+($P$126-P49-CUSUM!F49))</f>
        <v>0</v>
      </c>
      <c r="R49" s="14">
        <v>84</v>
      </c>
      <c r="S49" s="2">
        <f>MAX(0,S48+($R$126-R49-CUSUM!F49))</f>
        <v>10.349593495934968</v>
      </c>
      <c r="T49" s="14">
        <v>89</v>
      </c>
      <c r="U49" s="2">
        <f>MAX(0,U48+($T$126-T49-CUSUM!F49))</f>
        <v>0</v>
      </c>
      <c r="V49" s="14">
        <v>89</v>
      </c>
      <c r="W49" s="2">
        <f>MAX(0,W48+($V$126-V49-CUSUM!F49))</f>
        <v>0</v>
      </c>
      <c r="X49" s="14">
        <v>101</v>
      </c>
      <c r="Y49" s="2">
        <f>MAX(0,Y48+($X$126-X49-CUSUM!F49))</f>
        <v>0</v>
      </c>
      <c r="Z49" s="14">
        <v>86</v>
      </c>
      <c r="AA49" s="2">
        <f>MAX(0,AA48+($Z$126-Z49-CUSUM!F49))</f>
        <v>0</v>
      </c>
      <c r="AB49" s="14">
        <v>88</v>
      </c>
      <c r="AC49" s="2">
        <f>MAX(0,AC48+($AB$126-AB49-CUSUM!F49))</f>
        <v>0</v>
      </c>
      <c r="AD49" s="14">
        <v>90</v>
      </c>
      <c r="AE49" s="2">
        <f>MAX(0,AE48+($AD$126-AD49-CUSUM!F49))</f>
        <v>0</v>
      </c>
      <c r="AF49" s="14">
        <v>90</v>
      </c>
      <c r="AG49" s="2">
        <f>MAX(0,AG48+($AF$126-AF49-CUSUM!F49))</f>
        <v>0</v>
      </c>
      <c r="AH49" s="14">
        <v>91</v>
      </c>
      <c r="AI49" s="2">
        <f>MAX(0,AI48+($AH$126-AH49-CUSUM!F49))</f>
        <v>0</v>
      </c>
      <c r="AJ49" s="14">
        <v>67</v>
      </c>
      <c r="AK49" s="9">
        <f>MAX(0,AK48+($AJ$126-AJ49-CUSUM!F49))</f>
        <v>23.333333333333343</v>
      </c>
      <c r="AL49" s="14">
        <v>88</v>
      </c>
      <c r="AM49" s="2">
        <f>MAX(0,AM48+($AL$126-AL49-CUSUM!F49))</f>
        <v>0</v>
      </c>
      <c r="AN49" s="14">
        <v>90</v>
      </c>
      <c r="AO49" s="2">
        <f>MAX(0,AO48+($AN$126-AN49-CUSUM!F49))</f>
        <v>0</v>
      </c>
    </row>
    <row r="50" spans="1:41" x14ac:dyDescent="0.2">
      <c r="A50" s="8">
        <v>43694</v>
      </c>
      <c r="B50" s="14">
        <v>91</v>
      </c>
      <c r="C50" s="2">
        <f>MAX(0,C49+($B$126-B50-CUSUM!F50))</f>
        <v>0</v>
      </c>
      <c r="D50" s="14">
        <v>91</v>
      </c>
      <c r="E50" s="2">
        <f>MAX(0,E49+($D$126-D50-CUSUM!F50))</f>
        <v>0</v>
      </c>
      <c r="F50" s="14">
        <v>84</v>
      </c>
      <c r="G50" s="2">
        <f>MAX(0,G49+($F$126-F50-CUSUM!F50))</f>
        <v>5.0406504065040849</v>
      </c>
      <c r="H50" s="14">
        <v>96</v>
      </c>
      <c r="I50" s="2">
        <f>MAX(0,I49+($H$126-H50-CUSUM!F50))</f>
        <v>0</v>
      </c>
      <c r="J50" s="14">
        <v>99</v>
      </c>
      <c r="K50" s="2">
        <f>MAX(0,K49+($J$126-J50-CUSUM!F50))</f>
        <v>0</v>
      </c>
      <c r="L50" s="14">
        <v>91</v>
      </c>
      <c r="M50" s="2">
        <f>MAX(0,M49+($L$126-L50-CUSUM!F50))</f>
        <v>0</v>
      </c>
      <c r="N50" s="14">
        <v>91</v>
      </c>
      <c r="O50" s="2">
        <f>MAX(0,O49+($N$126-N50-CUSUM!F50))</f>
        <v>0</v>
      </c>
      <c r="P50" s="14">
        <v>89</v>
      </c>
      <c r="Q50" s="2">
        <f>MAX(0,Q49+($P$126-P50-CUSUM!F50))</f>
        <v>0</v>
      </c>
      <c r="R50" s="14">
        <v>86</v>
      </c>
      <c r="S50" s="2">
        <f>MAX(0,S49+($R$126-R50-CUSUM!F50))</f>
        <v>6.1138211382113923</v>
      </c>
      <c r="T50" s="14">
        <v>90</v>
      </c>
      <c r="U50" s="2">
        <f>MAX(0,U49+($T$126-T50-CUSUM!F50))</f>
        <v>0</v>
      </c>
      <c r="V50" s="14">
        <v>86</v>
      </c>
      <c r="W50" s="2">
        <f>MAX(0,W49+($V$126-V50-CUSUM!F50))</f>
        <v>0</v>
      </c>
      <c r="X50" s="14">
        <v>101</v>
      </c>
      <c r="Y50" s="2">
        <f>MAX(0,Y49+($X$126-X50-CUSUM!F50))</f>
        <v>0</v>
      </c>
      <c r="Z50" s="14">
        <v>85</v>
      </c>
      <c r="AA50" s="2">
        <f>MAX(0,AA49+($Z$126-Z50-CUSUM!F50))</f>
        <v>0</v>
      </c>
      <c r="AB50" s="14">
        <v>87</v>
      </c>
      <c r="AC50" s="2">
        <f>MAX(0,AC49+($AB$126-AB50-CUSUM!F50))</f>
        <v>0</v>
      </c>
      <c r="AD50" s="14">
        <v>91</v>
      </c>
      <c r="AE50" s="2">
        <f>MAX(0,AE49+($AD$126-AD50-CUSUM!F50))</f>
        <v>0</v>
      </c>
      <c r="AF50" s="14">
        <v>92</v>
      </c>
      <c r="AG50" s="2">
        <f>MAX(0,AG49+($AF$126-AF50-CUSUM!F50))</f>
        <v>0</v>
      </c>
      <c r="AH50" s="14">
        <v>87</v>
      </c>
      <c r="AI50" s="2">
        <f>MAX(0,AI49+($AH$126-AH50-CUSUM!F50))</f>
        <v>0</v>
      </c>
      <c r="AJ50" s="14">
        <v>66</v>
      </c>
      <c r="AK50" s="2">
        <f>MAX(0,AK49+($AJ$126-AJ50-CUSUM!F50))</f>
        <v>39.000000000000014</v>
      </c>
      <c r="AL50" s="14">
        <v>89</v>
      </c>
      <c r="AM50" s="2">
        <f>MAX(0,AM49+($AL$126-AL50-CUSUM!F50))</f>
        <v>0</v>
      </c>
      <c r="AN50" s="14">
        <v>89</v>
      </c>
      <c r="AO50" s="2">
        <f>MAX(0,AO49+($AN$126-AN50-CUSUM!F50))</f>
        <v>0</v>
      </c>
    </row>
    <row r="51" spans="1:41" x14ac:dyDescent="0.2">
      <c r="A51" s="8">
        <v>43695</v>
      </c>
      <c r="B51" s="14">
        <v>91</v>
      </c>
      <c r="C51" s="2">
        <f>MAX(0,C50+($B$126-B51-CUSUM!F51))</f>
        <v>0</v>
      </c>
      <c r="D51" s="14">
        <v>89</v>
      </c>
      <c r="E51" s="2">
        <f>MAX(0,E50+($D$126-D51-CUSUM!F51))</f>
        <v>0</v>
      </c>
      <c r="F51" s="14">
        <v>87</v>
      </c>
      <c r="G51" s="2">
        <f>MAX(0,G50+($F$126-F51-CUSUM!F51))</f>
        <v>2.3008130081301061</v>
      </c>
      <c r="H51" s="14">
        <v>98</v>
      </c>
      <c r="I51" s="2">
        <f>MAX(0,I50+($H$126-H51-CUSUM!F51))</f>
        <v>0</v>
      </c>
      <c r="J51" s="14">
        <v>101</v>
      </c>
      <c r="K51" s="2">
        <f>MAX(0,K50+($J$126-J51-CUSUM!F51))</f>
        <v>0</v>
      </c>
      <c r="L51" s="14">
        <v>91</v>
      </c>
      <c r="M51" s="2">
        <f>MAX(0,M50+($L$126-L51-CUSUM!F51))</f>
        <v>0</v>
      </c>
      <c r="N51" s="14">
        <v>93</v>
      </c>
      <c r="O51" s="2">
        <f>MAX(0,O50+($N$126-N51-CUSUM!F51))</f>
        <v>0</v>
      </c>
      <c r="P51" s="14">
        <v>90</v>
      </c>
      <c r="Q51" s="2">
        <f>MAX(0,Q50+($P$126-P51-CUSUM!F51))</f>
        <v>0</v>
      </c>
      <c r="R51" s="14">
        <v>86</v>
      </c>
      <c r="S51" s="2">
        <f>MAX(0,S50+($R$126-R51-CUSUM!F51))</f>
        <v>1.8780487804878163</v>
      </c>
      <c r="T51" s="14">
        <v>90</v>
      </c>
      <c r="U51" s="2">
        <f>MAX(0,U50+($T$126-T51-CUSUM!F51))</f>
        <v>0</v>
      </c>
      <c r="V51" s="14">
        <v>88</v>
      </c>
      <c r="W51" s="2">
        <f>MAX(0,W50+($V$126-V51-CUSUM!F51))</f>
        <v>0</v>
      </c>
      <c r="X51" s="14">
        <v>97</v>
      </c>
      <c r="Y51" s="2">
        <f>MAX(0,Y50+($X$126-X51-CUSUM!F51))</f>
        <v>0</v>
      </c>
      <c r="Z51" s="14">
        <v>86</v>
      </c>
      <c r="AA51" s="2">
        <f>MAX(0,AA50+($Z$126-Z51-CUSUM!F51))</f>
        <v>0</v>
      </c>
      <c r="AB51" s="14">
        <v>88</v>
      </c>
      <c r="AC51" s="2">
        <f>MAX(0,AC50+($AB$126-AB51-CUSUM!F51))</f>
        <v>0</v>
      </c>
      <c r="AD51" s="14">
        <v>93</v>
      </c>
      <c r="AE51" s="2">
        <f>MAX(0,AE50+($AD$126-AD51-CUSUM!F51))</f>
        <v>0</v>
      </c>
      <c r="AF51" s="14">
        <v>94</v>
      </c>
      <c r="AG51" s="2">
        <f>MAX(0,AG50+($AF$126-AF51-CUSUM!F51))</f>
        <v>0</v>
      </c>
      <c r="AH51" s="14">
        <v>87</v>
      </c>
      <c r="AI51" s="2">
        <f>MAX(0,AI50+($AH$126-AH51-CUSUM!F51))</f>
        <v>0</v>
      </c>
      <c r="AJ51" s="14">
        <v>77</v>
      </c>
      <c r="AK51" s="2">
        <f>MAX(0,AK50+($AJ$126-AJ51-CUSUM!F51))</f>
        <v>43.666666666666686</v>
      </c>
      <c r="AL51" s="14">
        <v>89</v>
      </c>
      <c r="AM51" s="2">
        <f>MAX(0,AM50+($AL$126-AL51-CUSUM!F51))</f>
        <v>0</v>
      </c>
      <c r="AN51" s="14">
        <v>88</v>
      </c>
      <c r="AO51" s="2">
        <f>MAX(0,AO50+($AN$126-AN51-CUSUM!F51))</f>
        <v>0</v>
      </c>
    </row>
    <row r="52" spans="1:41" x14ac:dyDescent="0.2">
      <c r="A52" s="8">
        <v>43696</v>
      </c>
      <c r="B52" s="14">
        <v>90</v>
      </c>
      <c r="C52" s="2">
        <f>MAX(0,C51+($B$126-B52-CUSUM!F52))</f>
        <v>0</v>
      </c>
      <c r="D52" s="14">
        <v>89</v>
      </c>
      <c r="E52" s="2">
        <f>MAX(0,E51+($D$126-D52-CUSUM!F52))</f>
        <v>0</v>
      </c>
      <c r="F52" s="14">
        <v>90</v>
      </c>
      <c r="G52" s="2">
        <f>MAX(0,G51+($F$126-F52-CUSUM!F52))</f>
        <v>0</v>
      </c>
      <c r="H52" s="14">
        <v>98</v>
      </c>
      <c r="I52" s="2">
        <f>MAX(0,I51+($H$126-H52-CUSUM!F52))</f>
        <v>0</v>
      </c>
      <c r="J52" s="14">
        <v>101</v>
      </c>
      <c r="K52" s="2">
        <f>MAX(0,K51+($J$126-J52-CUSUM!F52))</f>
        <v>0</v>
      </c>
      <c r="L52" s="14">
        <v>87</v>
      </c>
      <c r="M52" s="2">
        <f>MAX(0,M51+($L$126-L52-CUSUM!F52))</f>
        <v>0</v>
      </c>
      <c r="N52" s="14">
        <v>91</v>
      </c>
      <c r="O52" s="2">
        <f>MAX(0,O51+($N$126-N52-CUSUM!F52))</f>
        <v>0</v>
      </c>
      <c r="P52" s="14">
        <v>90</v>
      </c>
      <c r="Q52" s="2">
        <f>MAX(0,Q51+($P$126-P52-CUSUM!F52))</f>
        <v>0</v>
      </c>
      <c r="R52" s="14">
        <v>89</v>
      </c>
      <c r="S52" s="2">
        <f>MAX(0,S51+($R$126-R52-CUSUM!F52))</f>
        <v>0</v>
      </c>
      <c r="T52" s="14">
        <v>89</v>
      </c>
      <c r="U52" s="2">
        <f>MAX(0,U51+($T$126-T52-CUSUM!F52))</f>
        <v>0</v>
      </c>
      <c r="V52" s="14">
        <v>88</v>
      </c>
      <c r="W52" s="2">
        <f>MAX(0,W51+($V$126-V52-CUSUM!F52))</f>
        <v>0</v>
      </c>
      <c r="X52" s="14">
        <v>95</v>
      </c>
      <c r="Y52" s="2">
        <f>MAX(0,Y51+($X$126-X52-CUSUM!F52))</f>
        <v>0</v>
      </c>
      <c r="Z52" s="14">
        <v>90</v>
      </c>
      <c r="AA52" s="2">
        <f>MAX(0,AA51+($Z$126-Z52-CUSUM!F52))</f>
        <v>0</v>
      </c>
      <c r="AB52" s="14">
        <v>90</v>
      </c>
      <c r="AC52" s="2">
        <f>MAX(0,AC51+($AB$126-AB52-CUSUM!F52))</f>
        <v>0</v>
      </c>
      <c r="AD52" s="14">
        <v>92</v>
      </c>
      <c r="AE52" s="2">
        <f>MAX(0,AE51+($AD$126-AD52-CUSUM!F52))</f>
        <v>0</v>
      </c>
      <c r="AF52" s="14">
        <v>96</v>
      </c>
      <c r="AG52" s="2">
        <f>MAX(0,AG51+($AF$126-AF52-CUSUM!F52))</f>
        <v>0</v>
      </c>
      <c r="AH52" s="14">
        <v>84</v>
      </c>
      <c r="AI52" s="2">
        <f>MAX(0,AI51+($AH$126-AH52-CUSUM!F52))</f>
        <v>0.65040650406504597</v>
      </c>
      <c r="AJ52" s="14">
        <v>82</v>
      </c>
      <c r="AK52" s="2">
        <f>MAX(0,AK51+($AJ$126-AJ52-CUSUM!F52))</f>
        <v>43.333333333333357</v>
      </c>
      <c r="AL52" s="14">
        <v>86</v>
      </c>
      <c r="AM52" s="2">
        <f>MAX(0,AM51+($AL$126-AL52-CUSUM!F52))</f>
        <v>0</v>
      </c>
      <c r="AN52" s="14">
        <v>89</v>
      </c>
      <c r="AO52" s="2">
        <f>MAX(0,AO51+($AN$126-AN52-CUSUM!F52))</f>
        <v>0</v>
      </c>
    </row>
    <row r="53" spans="1:41" x14ac:dyDescent="0.2">
      <c r="A53" s="8">
        <v>43697</v>
      </c>
      <c r="B53" s="14">
        <v>89</v>
      </c>
      <c r="C53" s="2">
        <f>MAX(0,C52+($B$126-B53-CUSUM!F53))</f>
        <v>0</v>
      </c>
      <c r="D53" s="14">
        <v>88</v>
      </c>
      <c r="E53" s="2">
        <f>MAX(0,E52+($D$126-D53-CUSUM!F53))</f>
        <v>0</v>
      </c>
      <c r="F53" s="14">
        <v>79</v>
      </c>
      <c r="G53" s="2">
        <f>MAX(0,G52+($F$126-F53-CUSUM!F53))</f>
        <v>5.2601626016260212</v>
      </c>
      <c r="H53" s="14">
        <v>89</v>
      </c>
      <c r="I53" s="2">
        <f>MAX(0,I52+($H$126-H53-CUSUM!F53))</f>
        <v>0</v>
      </c>
      <c r="J53" s="14">
        <v>97</v>
      </c>
      <c r="K53" s="2">
        <f>MAX(0,K52+($J$126-J53-CUSUM!F53))</f>
        <v>0</v>
      </c>
      <c r="L53" s="14">
        <v>86</v>
      </c>
      <c r="M53" s="2">
        <f>MAX(0,M52+($L$126-L53-CUSUM!F53))</f>
        <v>0</v>
      </c>
      <c r="N53" s="14">
        <v>93</v>
      </c>
      <c r="O53" s="2">
        <f>MAX(0,O52+($N$126-N53-CUSUM!F53))</f>
        <v>0</v>
      </c>
      <c r="P53" s="14">
        <v>87</v>
      </c>
      <c r="Q53" s="2">
        <f>MAX(0,Q52+($P$126-P53-CUSUM!F53))</f>
        <v>0</v>
      </c>
      <c r="R53" s="14">
        <v>88</v>
      </c>
      <c r="S53" s="2">
        <f>MAX(0,S52+($R$126-R53-CUSUM!F53))</f>
        <v>0</v>
      </c>
      <c r="T53" s="14">
        <v>92</v>
      </c>
      <c r="U53" s="2">
        <f>MAX(0,U52+($T$126-T53-CUSUM!F53))</f>
        <v>0</v>
      </c>
      <c r="V53" s="14">
        <v>93</v>
      </c>
      <c r="W53" s="2">
        <f>MAX(0,W52+($V$126-V53-CUSUM!F53))</f>
        <v>0</v>
      </c>
      <c r="X53" s="14">
        <v>96</v>
      </c>
      <c r="Y53" s="2">
        <f>MAX(0,Y52+($X$126-X53-CUSUM!F53))</f>
        <v>0</v>
      </c>
      <c r="Z53" s="14">
        <v>90</v>
      </c>
      <c r="AA53" s="2">
        <f>MAX(0,AA52+($Z$126-Z53-CUSUM!F53))</f>
        <v>0</v>
      </c>
      <c r="AB53" s="14">
        <v>88</v>
      </c>
      <c r="AC53" s="2">
        <f>MAX(0,AC52+($AB$126-AB53-CUSUM!F53))</f>
        <v>0</v>
      </c>
      <c r="AD53" s="14">
        <v>93</v>
      </c>
      <c r="AE53" s="2">
        <f>MAX(0,AE52+($AD$126-AD53-CUSUM!F53))</f>
        <v>0</v>
      </c>
      <c r="AF53" s="14">
        <v>93</v>
      </c>
      <c r="AG53" s="2">
        <f>MAX(0,AG52+($AF$126-AF53-CUSUM!F53))</f>
        <v>0</v>
      </c>
      <c r="AH53" s="14">
        <v>84</v>
      </c>
      <c r="AI53" s="2">
        <f>MAX(0,AI52+($AH$126-AH53-CUSUM!F53))</f>
        <v>1.3008130081300919</v>
      </c>
      <c r="AJ53" s="14">
        <v>84</v>
      </c>
      <c r="AK53" s="2">
        <f>MAX(0,AK52+($AJ$126-AJ53-CUSUM!F53))</f>
        <v>41.000000000000028</v>
      </c>
      <c r="AL53" s="14">
        <v>89</v>
      </c>
      <c r="AM53" s="2">
        <f>MAX(0,AM52+($AL$126-AL53-CUSUM!F53))</f>
        <v>0</v>
      </c>
      <c r="AN53" s="14">
        <v>88</v>
      </c>
      <c r="AO53" s="2">
        <f>MAX(0,AO52+($AN$126-AN53-CUSUM!F53))</f>
        <v>0</v>
      </c>
    </row>
    <row r="54" spans="1:41" x14ac:dyDescent="0.2">
      <c r="A54" s="8">
        <v>43698</v>
      </c>
      <c r="B54" s="14">
        <v>90</v>
      </c>
      <c r="C54" s="2">
        <f>MAX(0,C53+($B$126-B54-CUSUM!F54))</f>
        <v>0</v>
      </c>
      <c r="D54" s="14">
        <v>82</v>
      </c>
      <c r="E54" s="2">
        <f>MAX(0,E53+($D$126-D54-CUSUM!F54))</f>
        <v>0</v>
      </c>
      <c r="F54" s="14">
        <v>84</v>
      </c>
      <c r="G54" s="2">
        <f>MAX(0,G53+($F$126-F54-CUSUM!F54))</f>
        <v>5.5203252032520425</v>
      </c>
      <c r="H54" s="14">
        <v>91</v>
      </c>
      <c r="I54" s="2">
        <f>MAX(0,I53+($H$126-H54-CUSUM!F54))</f>
        <v>0</v>
      </c>
      <c r="J54" s="14">
        <v>87</v>
      </c>
      <c r="K54" s="2">
        <f>MAX(0,K53+($J$126-J54-CUSUM!F54))</f>
        <v>0</v>
      </c>
      <c r="L54" s="14">
        <v>88</v>
      </c>
      <c r="M54" s="2">
        <f>MAX(0,M53+($L$126-L54-CUSUM!F54))</f>
        <v>0</v>
      </c>
      <c r="N54" s="14">
        <v>93</v>
      </c>
      <c r="O54" s="2">
        <f>MAX(0,O53+($N$126-N54-CUSUM!F54))</f>
        <v>0</v>
      </c>
      <c r="P54" s="14">
        <v>88</v>
      </c>
      <c r="Q54" s="2">
        <f>MAX(0,Q53+($P$126-P54-CUSUM!F54))</f>
        <v>0</v>
      </c>
      <c r="R54" s="14">
        <v>82</v>
      </c>
      <c r="S54" s="2">
        <f>MAX(0,S53+($R$126-R54-CUSUM!F54))</f>
        <v>0</v>
      </c>
      <c r="T54" s="14">
        <v>94</v>
      </c>
      <c r="U54" s="2">
        <f>MAX(0,U53+($T$126-T54-CUSUM!F54))</f>
        <v>0</v>
      </c>
      <c r="V54" s="14">
        <v>91</v>
      </c>
      <c r="W54" s="2">
        <f>MAX(0,W53+($V$126-V54-CUSUM!F54))</f>
        <v>0</v>
      </c>
      <c r="X54" s="14">
        <v>99</v>
      </c>
      <c r="Y54" s="2">
        <f>MAX(0,Y53+($X$126-X54-CUSUM!F54))</f>
        <v>0</v>
      </c>
      <c r="Z54" s="14">
        <v>85</v>
      </c>
      <c r="AA54" s="2">
        <f>MAX(0,AA53+($Z$126-Z54-CUSUM!F54))</f>
        <v>0</v>
      </c>
      <c r="AB54" s="14">
        <v>88</v>
      </c>
      <c r="AC54" s="2">
        <f>MAX(0,AC53+($AB$126-AB54-CUSUM!F54))</f>
        <v>0</v>
      </c>
      <c r="AD54" s="14">
        <v>93</v>
      </c>
      <c r="AE54" s="2">
        <f>MAX(0,AE53+($AD$126-AD54-CUSUM!F54))</f>
        <v>0</v>
      </c>
      <c r="AF54" s="14">
        <v>94</v>
      </c>
      <c r="AG54" s="2">
        <f>MAX(0,AG53+($AF$126-AF54-CUSUM!F54))</f>
        <v>0</v>
      </c>
      <c r="AH54" s="14">
        <v>88</v>
      </c>
      <c r="AI54" s="2">
        <f>MAX(0,AI53+($AH$126-AH54-CUSUM!F54))</f>
        <v>0</v>
      </c>
      <c r="AJ54" s="14">
        <v>84</v>
      </c>
      <c r="AK54" s="2">
        <f>MAX(0,AK53+($AJ$126-AJ54-CUSUM!F54))</f>
        <v>38.6666666666667</v>
      </c>
      <c r="AL54" s="14">
        <v>92</v>
      </c>
      <c r="AM54" s="2">
        <f>MAX(0,AM53+($AL$126-AL54-CUSUM!F54))</f>
        <v>0</v>
      </c>
      <c r="AN54" s="14">
        <v>89</v>
      </c>
      <c r="AO54" s="2">
        <f>MAX(0,AO53+($AN$126-AN54-CUSUM!F54))</f>
        <v>0</v>
      </c>
    </row>
    <row r="55" spans="1:41" x14ac:dyDescent="0.2">
      <c r="A55" s="8">
        <v>43699</v>
      </c>
      <c r="B55" s="14">
        <v>91</v>
      </c>
      <c r="C55" s="2">
        <f>MAX(0,C54+($B$126-B55-CUSUM!F55))</f>
        <v>0</v>
      </c>
      <c r="D55" s="14">
        <v>79</v>
      </c>
      <c r="E55" s="2">
        <f>MAX(0,E54+($D$126-D55-CUSUM!F55))</f>
        <v>2.674796747967477</v>
      </c>
      <c r="F55" s="14">
        <v>87</v>
      </c>
      <c r="G55" s="2">
        <f>MAX(0,G54+($F$126-F55-CUSUM!F55))</f>
        <v>2.7804878048780637</v>
      </c>
      <c r="H55" s="14">
        <v>91</v>
      </c>
      <c r="I55" s="2">
        <f>MAX(0,I54+($H$126-H55-CUSUM!F55))</f>
        <v>0</v>
      </c>
      <c r="J55" s="14">
        <v>86</v>
      </c>
      <c r="K55" s="2">
        <f>MAX(0,K54+($J$126-J55-CUSUM!F55))</f>
        <v>0</v>
      </c>
      <c r="L55" s="14">
        <v>90</v>
      </c>
      <c r="M55" s="2">
        <f>MAX(0,M54+($L$126-L55-CUSUM!F55))</f>
        <v>0</v>
      </c>
      <c r="N55" s="14">
        <v>91</v>
      </c>
      <c r="O55" s="2">
        <f>MAX(0,O54+($N$126-N55-CUSUM!F55))</f>
        <v>0</v>
      </c>
      <c r="P55" s="14">
        <v>88</v>
      </c>
      <c r="Q55" s="2">
        <f>MAX(0,Q54+($P$126-P55-CUSUM!F55))</f>
        <v>0</v>
      </c>
      <c r="R55" s="14">
        <v>84</v>
      </c>
      <c r="S55" s="2">
        <f>MAX(0,S54+($R$126-R55-CUSUM!F55))</f>
        <v>0</v>
      </c>
      <c r="T55" s="14">
        <v>93</v>
      </c>
      <c r="U55" s="2">
        <f>MAX(0,U54+($T$126-T55-CUSUM!F55))</f>
        <v>0</v>
      </c>
      <c r="V55" s="14">
        <v>88</v>
      </c>
      <c r="W55" s="2">
        <f>MAX(0,W54+($V$126-V55-CUSUM!F55))</f>
        <v>0</v>
      </c>
      <c r="X55" s="14">
        <v>104</v>
      </c>
      <c r="Y55" s="2">
        <f>MAX(0,Y54+($X$126-X55-CUSUM!F55))</f>
        <v>0</v>
      </c>
      <c r="Z55" s="14">
        <v>82</v>
      </c>
      <c r="AA55" s="2">
        <f>MAX(0,AA54+($Z$126-Z55-CUSUM!F55))</f>
        <v>0.51219512195122263</v>
      </c>
      <c r="AB55" s="14">
        <v>85</v>
      </c>
      <c r="AC55" s="2">
        <f>MAX(0,AC54+($AB$126-AB55-CUSUM!F55))</f>
        <v>0</v>
      </c>
      <c r="AD55" s="14">
        <v>94</v>
      </c>
      <c r="AE55" s="2">
        <f>MAX(0,AE54+($AD$126-AD55-CUSUM!F55))</f>
        <v>0</v>
      </c>
      <c r="AF55" s="14">
        <v>98</v>
      </c>
      <c r="AG55" s="2">
        <f>MAX(0,AG54+($AF$126-AF55-CUSUM!F55))</f>
        <v>0</v>
      </c>
      <c r="AH55" s="14">
        <v>84</v>
      </c>
      <c r="AI55" s="2">
        <f>MAX(0,AI54+($AH$126-AH55-CUSUM!F55))</f>
        <v>0.65040650406504597</v>
      </c>
      <c r="AJ55" s="14">
        <v>88</v>
      </c>
      <c r="AK55" s="2">
        <f>MAX(0,AK54+($AJ$126-AJ55-CUSUM!F55))</f>
        <v>32.333333333333371</v>
      </c>
      <c r="AL55" s="14">
        <v>93</v>
      </c>
      <c r="AM55" s="2">
        <f>MAX(0,AM54+($AL$126-AL55-CUSUM!F55))</f>
        <v>0</v>
      </c>
      <c r="AN55" s="14">
        <v>92</v>
      </c>
      <c r="AO55" s="2">
        <f>MAX(0,AO54+($AN$126-AN55-CUSUM!F55))</f>
        <v>0</v>
      </c>
    </row>
    <row r="56" spans="1:41" x14ac:dyDescent="0.2">
      <c r="A56" s="8">
        <v>43700</v>
      </c>
      <c r="B56" s="14">
        <v>91</v>
      </c>
      <c r="C56" s="2">
        <f>MAX(0,C55+($B$126-B56-CUSUM!F56))</f>
        <v>0</v>
      </c>
      <c r="D56" s="14">
        <v>81</v>
      </c>
      <c r="E56" s="2">
        <f>MAX(0,E55+($D$126-D56-CUSUM!F56))</f>
        <v>3.349593495934954</v>
      </c>
      <c r="F56" s="14">
        <v>87</v>
      </c>
      <c r="G56" s="2">
        <f>MAX(0,G55+($F$126-F56-CUSUM!F56))</f>
        <v>4.0650406504084913E-2</v>
      </c>
      <c r="H56" s="14">
        <v>90</v>
      </c>
      <c r="I56" s="2">
        <f>MAX(0,I55+($H$126-H56-CUSUM!F56))</f>
        <v>0</v>
      </c>
      <c r="J56" s="14">
        <v>88</v>
      </c>
      <c r="K56" s="2">
        <f>MAX(0,K55+($J$126-J56-CUSUM!F56))</f>
        <v>0</v>
      </c>
      <c r="L56" s="14">
        <v>88</v>
      </c>
      <c r="M56" s="2">
        <f>MAX(0,M55+($L$126-L56-CUSUM!F56))</f>
        <v>0</v>
      </c>
      <c r="N56" s="14">
        <v>95</v>
      </c>
      <c r="O56" s="2">
        <f>MAX(0,O55+($N$126-N56-CUSUM!F56))</f>
        <v>0</v>
      </c>
      <c r="P56" s="14">
        <v>90</v>
      </c>
      <c r="Q56" s="2">
        <f>MAX(0,Q55+($P$126-P56-CUSUM!F56))</f>
        <v>0</v>
      </c>
      <c r="R56" s="14">
        <v>84</v>
      </c>
      <c r="S56" s="2">
        <f>MAX(0,S55+($R$126-R56-CUSUM!F56))</f>
        <v>0</v>
      </c>
      <c r="T56" s="14">
        <v>87</v>
      </c>
      <c r="U56" s="2">
        <f>MAX(0,U55+($T$126-T56-CUSUM!F56))</f>
        <v>0</v>
      </c>
      <c r="V56" s="14">
        <v>87</v>
      </c>
      <c r="W56" s="2">
        <f>MAX(0,W55+($V$126-V56-CUSUM!F56))</f>
        <v>0</v>
      </c>
      <c r="X56" s="14">
        <v>98</v>
      </c>
      <c r="Y56" s="2">
        <f>MAX(0,Y55+($X$126-X56-CUSUM!F56))</f>
        <v>0</v>
      </c>
      <c r="Z56" s="14">
        <v>78</v>
      </c>
      <c r="AA56" s="2">
        <f>MAX(0,AA55+($Z$126-Z56-CUSUM!F56))</f>
        <v>5.0243902439024453</v>
      </c>
      <c r="AB56" s="14">
        <v>81</v>
      </c>
      <c r="AC56" s="2">
        <f>MAX(0,AC55+($AB$126-AB56-CUSUM!F56))</f>
        <v>0</v>
      </c>
      <c r="AD56" s="14">
        <v>93</v>
      </c>
      <c r="AE56" s="2">
        <f>MAX(0,AE55+($AD$126-AD56-CUSUM!F56))</f>
        <v>0</v>
      </c>
      <c r="AF56" s="14">
        <v>92</v>
      </c>
      <c r="AG56" s="2">
        <f>MAX(0,AG55+($AF$126-AF56-CUSUM!F56))</f>
        <v>0</v>
      </c>
      <c r="AH56" s="14">
        <v>88</v>
      </c>
      <c r="AI56" s="2">
        <f>MAX(0,AI55+($AH$126-AH56-CUSUM!F56))</f>
        <v>0</v>
      </c>
      <c r="AJ56" s="14">
        <v>90</v>
      </c>
      <c r="AK56" s="2">
        <f>MAX(0,AK55+($AJ$126-AJ56-CUSUM!F56))</f>
        <v>24.000000000000043</v>
      </c>
      <c r="AL56" s="14">
        <v>93</v>
      </c>
      <c r="AM56" s="2">
        <f>MAX(0,AM55+($AL$126-AL56-CUSUM!F56))</f>
        <v>0</v>
      </c>
      <c r="AN56" s="14">
        <v>87</v>
      </c>
      <c r="AO56" s="2">
        <f>MAX(0,AO55+($AN$126-AN56-CUSUM!F56))</f>
        <v>0</v>
      </c>
    </row>
    <row r="57" spans="1:41" x14ac:dyDescent="0.2">
      <c r="A57" s="8">
        <v>43701</v>
      </c>
      <c r="B57" s="14">
        <v>91</v>
      </c>
      <c r="C57" s="2">
        <f>MAX(0,C56+($B$126-B57-CUSUM!F57))</f>
        <v>0</v>
      </c>
      <c r="D57" s="14">
        <v>82</v>
      </c>
      <c r="E57" s="2">
        <f>MAX(0,E56+($D$126-D57-CUSUM!F57))</f>
        <v>3.0243902439024311</v>
      </c>
      <c r="F57" s="14">
        <v>88</v>
      </c>
      <c r="G57" s="2">
        <f>MAX(0,G56+($F$126-F57-CUSUM!F57))</f>
        <v>0</v>
      </c>
      <c r="H57" s="14">
        <v>80</v>
      </c>
      <c r="I57" s="2">
        <f>MAX(0,I56+($H$126-H57-CUSUM!F57))</f>
        <v>3.3577235772357739</v>
      </c>
      <c r="J57" s="14">
        <v>92</v>
      </c>
      <c r="K57" s="2">
        <f>MAX(0,K56+($J$126-J57-CUSUM!F57))</f>
        <v>0</v>
      </c>
      <c r="L57" s="14">
        <v>93</v>
      </c>
      <c r="M57" s="2">
        <f>MAX(0,M56+($L$126-L57-CUSUM!F57))</f>
        <v>0</v>
      </c>
      <c r="N57" s="14">
        <v>93</v>
      </c>
      <c r="O57" s="2">
        <f>MAX(0,O56+($N$126-N57-CUSUM!F57))</f>
        <v>0</v>
      </c>
      <c r="P57" s="14">
        <v>89</v>
      </c>
      <c r="Q57" s="2">
        <f>MAX(0,Q56+($P$126-P57-CUSUM!F57))</f>
        <v>0</v>
      </c>
      <c r="R57" s="14">
        <v>87</v>
      </c>
      <c r="S57" s="2">
        <f>MAX(0,S56+($R$126-R57-CUSUM!F57))</f>
        <v>0</v>
      </c>
      <c r="T57" s="14">
        <v>85</v>
      </c>
      <c r="U57" s="2">
        <f>MAX(0,U56+($T$126-T57-CUSUM!F57))</f>
        <v>0</v>
      </c>
      <c r="V57" s="14">
        <v>83</v>
      </c>
      <c r="W57" s="2">
        <f>MAX(0,W56+($V$126-V57-CUSUM!F57))</f>
        <v>4.8780487804876316E-2</v>
      </c>
      <c r="X57" s="14">
        <v>95</v>
      </c>
      <c r="Y57" s="2">
        <f>MAX(0,Y56+($X$126-X57-CUSUM!F57))</f>
        <v>0</v>
      </c>
      <c r="Z57" s="14">
        <v>83</v>
      </c>
      <c r="AA57" s="2">
        <f>MAX(0,AA56+($Z$126-Z57-CUSUM!F57))</f>
        <v>4.5365853658536679</v>
      </c>
      <c r="AB57" s="14">
        <v>86</v>
      </c>
      <c r="AC57" s="2">
        <f>MAX(0,AC56+($AB$126-AB57-CUSUM!F57))</f>
        <v>0</v>
      </c>
      <c r="AD57" s="14">
        <v>90</v>
      </c>
      <c r="AE57" s="2">
        <f>MAX(0,AE56+($AD$126-AD57-CUSUM!F57))</f>
        <v>0</v>
      </c>
      <c r="AF57" s="14">
        <v>93</v>
      </c>
      <c r="AG57" s="2">
        <f>MAX(0,AG56+($AF$126-AF57-CUSUM!F57))</f>
        <v>0</v>
      </c>
      <c r="AH57" s="14">
        <v>86</v>
      </c>
      <c r="AI57" s="2">
        <f>MAX(0,AI56+($AH$126-AH57-CUSUM!F57))</f>
        <v>0</v>
      </c>
      <c r="AJ57" s="14">
        <v>84</v>
      </c>
      <c r="AK57" s="2">
        <f>MAX(0,AK56+($AJ$126-AJ57-CUSUM!F57))</f>
        <v>21.666666666666714</v>
      </c>
      <c r="AL57" s="14">
        <v>88</v>
      </c>
      <c r="AM57" s="2">
        <f>MAX(0,AM56+($AL$126-AL57-CUSUM!F57))</f>
        <v>0</v>
      </c>
      <c r="AN57" s="14">
        <v>89</v>
      </c>
      <c r="AO57" s="2">
        <f>MAX(0,AO56+($AN$126-AN57-CUSUM!F57))</f>
        <v>0</v>
      </c>
    </row>
    <row r="58" spans="1:41" x14ac:dyDescent="0.2">
      <c r="A58" s="8">
        <v>43702</v>
      </c>
      <c r="B58" s="14">
        <v>84</v>
      </c>
      <c r="C58" s="2">
        <f>MAX(0,C57+($B$126-B58-CUSUM!F58))</f>
        <v>0</v>
      </c>
      <c r="D58" s="14">
        <v>84</v>
      </c>
      <c r="E58" s="2">
        <f>MAX(0,E57+($D$126-D58-CUSUM!F58))</f>
        <v>0.69918699186990807</v>
      </c>
      <c r="F58" s="14">
        <v>90</v>
      </c>
      <c r="G58" s="2">
        <f>MAX(0,G57+($F$126-F58-CUSUM!F58))</f>
        <v>0</v>
      </c>
      <c r="H58" s="14">
        <v>82</v>
      </c>
      <c r="I58" s="2">
        <f>MAX(0,I57+($H$126-H58-CUSUM!F58))</f>
        <v>4.7154471544715477</v>
      </c>
      <c r="J58" s="14">
        <v>92</v>
      </c>
      <c r="K58" s="2">
        <f>MAX(0,K57+($J$126-J58-CUSUM!F58))</f>
        <v>0</v>
      </c>
      <c r="L58" s="14">
        <v>90</v>
      </c>
      <c r="M58" s="2">
        <f>MAX(0,M57+($L$126-L58-CUSUM!F58))</f>
        <v>0</v>
      </c>
      <c r="N58" s="14">
        <v>91</v>
      </c>
      <c r="O58" s="2">
        <f>MAX(0,O57+($N$126-N58-CUSUM!F58))</f>
        <v>0</v>
      </c>
      <c r="P58" s="14">
        <v>88</v>
      </c>
      <c r="Q58" s="2">
        <f>MAX(0,Q57+($P$126-P58-CUSUM!F58))</f>
        <v>0</v>
      </c>
      <c r="R58" s="14">
        <v>82</v>
      </c>
      <c r="S58" s="2">
        <f>MAX(0,S57+($R$126-R58-CUSUM!F58))</f>
        <v>0</v>
      </c>
      <c r="T58" s="14">
        <v>84</v>
      </c>
      <c r="U58" s="2">
        <f>MAX(0,U57+($T$126-T58-CUSUM!F58))</f>
        <v>0</v>
      </c>
      <c r="V58" s="14">
        <v>85</v>
      </c>
      <c r="W58" s="2">
        <f>MAX(0,W57+($V$126-V58-CUSUM!F58))</f>
        <v>0</v>
      </c>
      <c r="X58" s="14">
        <v>94</v>
      </c>
      <c r="Y58" s="2">
        <f>MAX(0,Y57+($X$126-X58-CUSUM!F58))</f>
        <v>0</v>
      </c>
      <c r="Z58" s="14">
        <v>78</v>
      </c>
      <c r="AA58" s="2">
        <f>MAX(0,AA57+($Z$126-Z58-CUSUM!F58))</f>
        <v>9.0487804878048905</v>
      </c>
      <c r="AB58" s="14">
        <v>87</v>
      </c>
      <c r="AC58" s="2">
        <f>MAX(0,AC57+($AB$126-AB58-CUSUM!F58))</f>
        <v>0</v>
      </c>
      <c r="AD58" s="14">
        <v>89</v>
      </c>
      <c r="AE58" s="2">
        <f>MAX(0,AE57+($AD$126-AD58-CUSUM!F58))</f>
        <v>0</v>
      </c>
      <c r="AF58" s="14">
        <v>95</v>
      </c>
      <c r="AG58" s="2">
        <f>MAX(0,AG57+($AF$126-AF58-CUSUM!F58))</f>
        <v>0</v>
      </c>
      <c r="AH58" s="14">
        <v>85</v>
      </c>
      <c r="AI58" s="2">
        <f>MAX(0,AI57+($AH$126-AH58-CUSUM!F58))</f>
        <v>0</v>
      </c>
      <c r="AJ58" s="14">
        <v>82</v>
      </c>
      <c r="AK58" s="2">
        <f>MAX(0,AK57+($AJ$126-AJ58-CUSUM!F58))</f>
        <v>21.333333333333385</v>
      </c>
      <c r="AL58" s="14">
        <v>84</v>
      </c>
      <c r="AM58" s="2">
        <f>MAX(0,AM57+($AL$126-AL58-CUSUM!F58))</f>
        <v>0</v>
      </c>
      <c r="AN58" s="14">
        <v>84</v>
      </c>
      <c r="AO58" s="2">
        <f>MAX(0,AO57+($AN$126-AN58-CUSUM!F58))</f>
        <v>0</v>
      </c>
    </row>
    <row r="59" spans="1:41" x14ac:dyDescent="0.2">
      <c r="A59" s="8">
        <v>43703</v>
      </c>
      <c r="B59" s="14">
        <v>88</v>
      </c>
      <c r="C59" s="2">
        <f>MAX(0,C58+($B$126-B59-CUSUM!F59))</f>
        <v>0</v>
      </c>
      <c r="D59" s="14">
        <v>87</v>
      </c>
      <c r="E59" s="2">
        <f>MAX(0,E58+($D$126-D59-CUSUM!F59))</f>
        <v>0</v>
      </c>
      <c r="F59" s="14">
        <v>91</v>
      </c>
      <c r="G59" s="2">
        <f>MAX(0,G58+($F$126-F59-CUSUM!F59))</f>
        <v>0</v>
      </c>
      <c r="H59" s="14">
        <v>89</v>
      </c>
      <c r="I59" s="2">
        <f>MAX(0,I58+($H$126-H59-CUSUM!F59))</f>
        <v>0</v>
      </c>
      <c r="J59" s="14">
        <v>90</v>
      </c>
      <c r="K59" s="2">
        <f>MAX(0,K58+($J$126-J59-CUSUM!F59))</f>
        <v>0</v>
      </c>
      <c r="L59" s="14">
        <v>91</v>
      </c>
      <c r="M59" s="2">
        <f>MAX(0,M58+($L$126-L59-CUSUM!F59))</f>
        <v>0</v>
      </c>
      <c r="N59" s="14">
        <v>88</v>
      </c>
      <c r="O59" s="2">
        <f>MAX(0,O58+($N$126-N59-CUSUM!F59))</f>
        <v>0</v>
      </c>
      <c r="P59" s="14">
        <v>89</v>
      </c>
      <c r="Q59" s="2">
        <f>MAX(0,Q58+($P$126-P59-CUSUM!F59))</f>
        <v>0</v>
      </c>
      <c r="R59" s="14">
        <v>86</v>
      </c>
      <c r="S59" s="2">
        <f>MAX(0,S58+($R$126-R59-CUSUM!F59))</f>
        <v>0</v>
      </c>
      <c r="T59" s="14">
        <v>84</v>
      </c>
      <c r="U59" s="2">
        <f>MAX(0,U58+($T$126-T59-CUSUM!F59))</f>
        <v>0</v>
      </c>
      <c r="V59" s="14">
        <v>88</v>
      </c>
      <c r="W59" s="2">
        <f>MAX(0,W58+($V$126-V59-CUSUM!F59))</f>
        <v>0</v>
      </c>
      <c r="X59" s="14">
        <v>92</v>
      </c>
      <c r="Y59" s="2">
        <f>MAX(0,Y58+($X$126-X59-CUSUM!F59))</f>
        <v>0</v>
      </c>
      <c r="Z59" s="14">
        <v>83</v>
      </c>
      <c r="AA59" s="2">
        <f>MAX(0,AA58+($Z$126-Z59-CUSUM!F59))</f>
        <v>8.5609756097561132</v>
      </c>
      <c r="AB59" s="14">
        <v>90</v>
      </c>
      <c r="AC59" s="2">
        <f>MAX(0,AC58+($AB$126-AB59-CUSUM!F59))</f>
        <v>0</v>
      </c>
      <c r="AD59" s="14">
        <v>90</v>
      </c>
      <c r="AE59" s="2">
        <f>MAX(0,AE58+($AD$126-AD59-CUSUM!F59))</f>
        <v>0</v>
      </c>
      <c r="AF59" s="14">
        <v>99</v>
      </c>
      <c r="AG59" s="2">
        <f>MAX(0,AG58+($AF$126-AF59-CUSUM!F59))</f>
        <v>0</v>
      </c>
      <c r="AH59" s="14">
        <v>90</v>
      </c>
      <c r="AI59" s="2">
        <f>MAX(0,AI58+($AH$126-AH59-CUSUM!F59))</f>
        <v>0</v>
      </c>
      <c r="AJ59" s="14">
        <v>82</v>
      </c>
      <c r="AK59" s="2">
        <f>MAX(0,AK58+($AJ$126-AJ59-CUSUM!F59))</f>
        <v>21.000000000000057</v>
      </c>
      <c r="AL59" s="14">
        <v>86</v>
      </c>
      <c r="AM59" s="2">
        <f>MAX(0,AM58+($AL$126-AL59-CUSUM!F59))</f>
        <v>0</v>
      </c>
      <c r="AN59" s="14">
        <v>86</v>
      </c>
      <c r="AO59" s="2">
        <f>MAX(0,AO58+($AN$126-AN59-CUSUM!F59))</f>
        <v>0</v>
      </c>
    </row>
    <row r="60" spans="1:41" x14ac:dyDescent="0.2">
      <c r="A60" s="8">
        <v>43704</v>
      </c>
      <c r="B60" s="14">
        <v>84</v>
      </c>
      <c r="C60" s="2">
        <f>MAX(0,C59+($B$126-B60-CUSUM!F60))</f>
        <v>0</v>
      </c>
      <c r="D60" s="14">
        <v>90</v>
      </c>
      <c r="E60" s="2">
        <f>MAX(0,E59+($D$126-D60-CUSUM!F60))</f>
        <v>0</v>
      </c>
      <c r="F60" s="14">
        <v>89</v>
      </c>
      <c r="G60" s="2">
        <f>MAX(0,G59+($F$126-F60-CUSUM!F60))</f>
        <v>0</v>
      </c>
      <c r="H60" s="14">
        <v>88</v>
      </c>
      <c r="I60" s="2">
        <f>MAX(0,I59+($H$126-H60-CUSUM!F60))</f>
        <v>0</v>
      </c>
      <c r="J60" s="14">
        <v>90</v>
      </c>
      <c r="K60" s="2">
        <f>MAX(0,K59+($J$126-J60-CUSUM!F60))</f>
        <v>0</v>
      </c>
      <c r="L60" s="14">
        <v>91</v>
      </c>
      <c r="M60" s="2">
        <f>MAX(0,M59+($L$126-L60-CUSUM!F60))</f>
        <v>0</v>
      </c>
      <c r="N60" s="14">
        <v>84</v>
      </c>
      <c r="O60" s="2">
        <f>MAX(0,O59+($N$126-N60-CUSUM!F60))</f>
        <v>0</v>
      </c>
      <c r="P60" s="14">
        <v>90</v>
      </c>
      <c r="Q60" s="2">
        <f>MAX(0,Q59+($P$126-P60-CUSUM!F60))</f>
        <v>0</v>
      </c>
      <c r="R60" s="14">
        <v>88</v>
      </c>
      <c r="S60" s="2">
        <f>MAX(0,S59+($R$126-R60-CUSUM!F60))</f>
        <v>0</v>
      </c>
      <c r="T60" s="14">
        <v>86</v>
      </c>
      <c r="U60" s="2">
        <f>MAX(0,U59+($T$126-T60-CUSUM!F60))</f>
        <v>0</v>
      </c>
      <c r="V60" s="14">
        <v>88</v>
      </c>
      <c r="W60" s="2">
        <f>MAX(0,W59+($V$126-V60-CUSUM!F60))</f>
        <v>0</v>
      </c>
      <c r="X60" s="14">
        <v>88</v>
      </c>
      <c r="Y60" s="2">
        <f>MAX(0,Y59+($X$126-X60-CUSUM!F60))</f>
        <v>0</v>
      </c>
      <c r="Z60" s="14">
        <v>80</v>
      </c>
      <c r="AA60" s="2">
        <f>MAX(0,AA59+($Z$126-Z60-CUSUM!F60))</f>
        <v>11.073170731707336</v>
      </c>
      <c r="AB60" s="14">
        <v>83</v>
      </c>
      <c r="AC60" s="2">
        <f>MAX(0,AC59+($AB$126-AB60-CUSUM!F60))</f>
        <v>0</v>
      </c>
      <c r="AD60" s="14">
        <v>89</v>
      </c>
      <c r="AE60" s="2">
        <f>MAX(0,AE59+($AD$126-AD60-CUSUM!F60))</f>
        <v>0</v>
      </c>
      <c r="AF60" s="14">
        <v>95</v>
      </c>
      <c r="AG60" s="2">
        <f>MAX(0,AG59+($AF$126-AF60-CUSUM!F60))</f>
        <v>0</v>
      </c>
      <c r="AH60" s="14">
        <v>90</v>
      </c>
      <c r="AI60" s="2">
        <f>MAX(0,AI59+($AH$126-AH60-CUSUM!F60))</f>
        <v>0</v>
      </c>
      <c r="AJ60" s="14">
        <v>86</v>
      </c>
      <c r="AK60" s="2">
        <f>MAX(0,AK59+($AJ$126-AJ60-CUSUM!F60))</f>
        <v>16.666666666666728</v>
      </c>
      <c r="AL60" s="14">
        <v>88</v>
      </c>
      <c r="AM60" s="2">
        <f>MAX(0,AM59+($AL$126-AL60-CUSUM!F60))</f>
        <v>0</v>
      </c>
      <c r="AN60" s="14">
        <v>85</v>
      </c>
      <c r="AO60" s="2">
        <f>MAX(0,AO59+($AN$126-AN60-CUSUM!F60))</f>
        <v>0</v>
      </c>
    </row>
    <row r="61" spans="1:41" x14ac:dyDescent="0.2">
      <c r="A61" s="8">
        <v>43705</v>
      </c>
      <c r="B61" s="14">
        <v>86</v>
      </c>
      <c r="C61" s="2">
        <f>MAX(0,C60+($B$126-B61-CUSUM!F61))</f>
        <v>0</v>
      </c>
      <c r="D61" s="14">
        <v>90</v>
      </c>
      <c r="E61" s="2">
        <f>MAX(0,E60+($D$126-D61-CUSUM!F61))</f>
        <v>0</v>
      </c>
      <c r="F61" s="14">
        <v>90</v>
      </c>
      <c r="G61" s="2">
        <f>MAX(0,G60+($F$126-F61-CUSUM!F61))</f>
        <v>0</v>
      </c>
      <c r="H61" s="14">
        <v>90</v>
      </c>
      <c r="I61" s="2">
        <f>MAX(0,I60+($H$126-H61-CUSUM!F61))</f>
        <v>0</v>
      </c>
      <c r="J61" s="14">
        <v>92</v>
      </c>
      <c r="K61" s="2">
        <f>MAX(0,K60+($J$126-J61-CUSUM!F61))</f>
        <v>0</v>
      </c>
      <c r="L61" s="14">
        <v>81</v>
      </c>
      <c r="M61" s="2">
        <f>MAX(0,M60+($L$126-L61-CUSUM!F61))</f>
        <v>0.55284552845527912</v>
      </c>
      <c r="N61" s="14">
        <v>82</v>
      </c>
      <c r="O61" s="2">
        <f>MAX(0,O60+($N$126-N61-CUSUM!F61))</f>
        <v>1.58536585365853</v>
      </c>
      <c r="P61" s="14">
        <v>91</v>
      </c>
      <c r="Q61" s="2">
        <f>MAX(0,Q60+($P$126-P61-CUSUM!F61))</f>
        <v>0</v>
      </c>
      <c r="R61" s="14">
        <v>90</v>
      </c>
      <c r="S61" s="2">
        <f>MAX(0,S60+($R$126-R61-CUSUM!F61))</f>
        <v>0</v>
      </c>
      <c r="T61" s="14">
        <v>86</v>
      </c>
      <c r="U61" s="2">
        <f>MAX(0,U60+($T$126-T61-CUSUM!F61))</f>
        <v>0</v>
      </c>
      <c r="V61" s="14">
        <v>90</v>
      </c>
      <c r="W61" s="2">
        <f>MAX(0,W60+($V$126-V61-CUSUM!F61))</f>
        <v>0</v>
      </c>
      <c r="X61" s="14">
        <v>88</v>
      </c>
      <c r="Y61" s="2">
        <f>MAX(0,Y60+($X$126-X61-CUSUM!F61))</f>
        <v>0</v>
      </c>
      <c r="Z61" s="14">
        <v>86</v>
      </c>
      <c r="AA61" s="2">
        <f>MAX(0,AA60+($Z$126-Z61-CUSUM!F61))</f>
        <v>7.5853658536585584</v>
      </c>
      <c r="AB61" s="14">
        <v>75</v>
      </c>
      <c r="AC61" s="2">
        <f>MAX(0,AC60+($AB$126-AB61-CUSUM!F61))</f>
        <v>5.9918699186991802</v>
      </c>
      <c r="AD61" s="14">
        <v>87</v>
      </c>
      <c r="AE61" s="2">
        <f>MAX(0,AE60+($AD$126-AD61-CUSUM!F61))</f>
        <v>0.21138211382114491</v>
      </c>
      <c r="AF61" s="14">
        <v>95</v>
      </c>
      <c r="AG61" s="2">
        <f>MAX(0,AG60+($AF$126-AF61-CUSUM!F61))</f>
        <v>0</v>
      </c>
      <c r="AH61" s="14">
        <v>80</v>
      </c>
      <c r="AI61" s="2">
        <f>MAX(0,AI60+($AH$126-AH61-CUSUM!F61))</f>
        <v>4.650406504065046</v>
      </c>
      <c r="AJ61" s="14">
        <v>90</v>
      </c>
      <c r="AK61" s="2">
        <f>MAX(0,AK60+($AJ$126-AJ61-CUSUM!F61))</f>
        <v>8.3333333333333997</v>
      </c>
      <c r="AL61" s="14">
        <v>91</v>
      </c>
      <c r="AM61" s="2">
        <f>MAX(0,AM60+($AL$126-AL61-CUSUM!F61))</f>
        <v>0</v>
      </c>
      <c r="AN61" s="14">
        <v>83</v>
      </c>
      <c r="AO61" s="2">
        <f>MAX(0,AO60+($AN$126-AN61-CUSUM!F61))</f>
        <v>0.30081300813007772</v>
      </c>
    </row>
    <row r="62" spans="1:41" x14ac:dyDescent="0.2">
      <c r="A62" s="8">
        <v>43706</v>
      </c>
      <c r="B62" s="14">
        <v>88</v>
      </c>
      <c r="C62" s="2">
        <f>MAX(0,C61+($B$126-B62-CUSUM!F62))</f>
        <v>0</v>
      </c>
      <c r="D62" s="14">
        <v>91</v>
      </c>
      <c r="E62" s="2">
        <f>MAX(0,E61+($D$126-D62-CUSUM!F62))</f>
        <v>0</v>
      </c>
      <c r="F62" s="14">
        <v>93</v>
      </c>
      <c r="G62" s="2">
        <f>MAX(0,G61+($F$126-F62-CUSUM!F62))</f>
        <v>0</v>
      </c>
      <c r="H62" s="14">
        <v>91</v>
      </c>
      <c r="I62" s="2">
        <f>MAX(0,I61+($H$126-H62-CUSUM!F62))</f>
        <v>0</v>
      </c>
      <c r="J62" s="14">
        <v>92</v>
      </c>
      <c r="K62" s="2">
        <f>MAX(0,K61+($J$126-J62-CUSUM!F62))</f>
        <v>0</v>
      </c>
      <c r="L62" s="14">
        <v>86</v>
      </c>
      <c r="M62" s="2">
        <f>MAX(0,M61+($L$126-L62-CUSUM!F62))</f>
        <v>0</v>
      </c>
      <c r="N62" s="14">
        <v>82</v>
      </c>
      <c r="O62" s="2">
        <f>MAX(0,O61+($N$126-N62-CUSUM!F62))</f>
        <v>3.17073170731706</v>
      </c>
      <c r="P62" s="14">
        <v>89</v>
      </c>
      <c r="Q62" s="2">
        <f>MAX(0,Q61+($P$126-P62-CUSUM!F62))</f>
        <v>0</v>
      </c>
      <c r="R62" s="14">
        <v>87</v>
      </c>
      <c r="S62" s="2">
        <f>MAX(0,S61+($R$126-R62-CUSUM!F62))</f>
        <v>0</v>
      </c>
      <c r="T62" s="14">
        <v>85</v>
      </c>
      <c r="U62" s="2">
        <f>MAX(0,U61+($T$126-T62-CUSUM!F62))</f>
        <v>0</v>
      </c>
      <c r="V62" s="14">
        <v>90</v>
      </c>
      <c r="W62" s="2">
        <f>MAX(0,W61+($V$126-V62-CUSUM!F62))</f>
        <v>0</v>
      </c>
      <c r="X62" s="14">
        <v>89</v>
      </c>
      <c r="Y62" s="2">
        <f>MAX(0,Y61+($X$126-X62-CUSUM!F62))</f>
        <v>0</v>
      </c>
      <c r="Z62" s="14">
        <v>89</v>
      </c>
      <c r="AA62" s="2">
        <f>MAX(0,AA61+($Z$126-Z62-CUSUM!F62))</f>
        <v>1.0975609756097811</v>
      </c>
      <c r="AB62" s="14">
        <v>86</v>
      </c>
      <c r="AC62" s="2">
        <f>MAX(0,AC61+($AB$126-AB62-CUSUM!F62))</f>
        <v>0.98373983739836035</v>
      </c>
      <c r="AD62" s="14">
        <v>84</v>
      </c>
      <c r="AE62" s="2">
        <f>MAX(0,AE61+($AD$126-AD62-CUSUM!F62))</f>
        <v>3.4227642276422898</v>
      </c>
      <c r="AF62" s="14">
        <v>93</v>
      </c>
      <c r="AG62" s="2">
        <f>MAX(0,AG61+($AF$126-AF62-CUSUM!F62))</f>
        <v>0</v>
      </c>
      <c r="AH62" s="14">
        <v>86</v>
      </c>
      <c r="AI62" s="2">
        <f>MAX(0,AI61+($AH$126-AH62-CUSUM!F62))</f>
        <v>3.3008130081300919</v>
      </c>
      <c r="AJ62" s="14">
        <v>92</v>
      </c>
      <c r="AK62" s="2">
        <f>MAX(0,AK61+($AJ$126-AJ62-CUSUM!F62))</f>
        <v>0</v>
      </c>
      <c r="AL62" s="14">
        <v>92</v>
      </c>
      <c r="AM62" s="2">
        <f>MAX(0,AM61+($AL$126-AL62-CUSUM!F62))</f>
        <v>0</v>
      </c>
      <c r="AN62" s="14">
        <v>81</v>
      </c>
      <c r="AO62" s="2">
        <f>MAX(0,AO61+($AN$126-AN62-CUSUM!F62))</f>
        <v>2.6016260162601554</v>
      </c>
    </row>
    <row r="63" spans="1:41" x14ac:dyDescent="0.2">
      <c r="A63" s="8">
        <v>43707</v>
      </c>
      <c r="B63" s="14">
        <v>84</v>
      </c>
      <c r="C63" s="2">
        <f>MAX(0,C62+($B$126-B63-CUSUM!F63))</f>
        <v>0</v>
      </c>
      <c r="D63" s="14">
        <v>91</v>
      </c>
      <c r="E63" s="2">
        <f>MAX(0,E62+($D$126-D63-CUSUM!F63))</f>
        <v>0</v>
      </c>
      <c r="F63" s="14">
        <v>93</v>
      </c>
      <c r="G63" s="2">
        <f>MAX(0,G62+($F$126-F63-CUSUM!F63))</f>
        <v>0</v>
      </c>
      <c r="H63" s="14">
        <v>91</v>
      </c>
      <c r="I63" s="2">
        <f>MAX(0,I62+($H$126-H63-CUSUM!F63))</f>
        <v>0</v>
      </c>
      <c r="J63" s="14">
        <v>88</v>
      </c>
      <c r="K63" s="2">
        <f>MAX(0,K62+($J$126-J63-CUSUM!F63))</f>
        <v>0</v>
      </c>
      <c r="L63" s="14">
        <v>81</v>
      </c>
      <c r="M63" s="2">
        <f>MAX(0,M62+($L$126-L63-CUSUM!F63))</f>
        <v>0.55284552845527912</v>
      </c>
      <c r="N63" s="14">
        <v>78</v>
      </c>
      <c r="O63" s="2">
        <f>MAX(0,O62+($N$126-N63-CUSUM!F63))</f>
        <v>8.75609756097559</v>
      </c>
      <c r="P63" s="14">
        <v>88</v>
      </c>
      <c r="Q63" s="2">
        <f>MAX(0,Q62+($P$126-P63-CUSUM!F63))</f>
        <v>0</v>
      </c>
      <c r="R63" s="14">
        <v>88</v>
      </c>
      <c r="S63" s="2">
        <f>MAX(0,S62+($R$126-R63-CUSUM!F63))</f>
        <v>0</v>
      </c>
      <c r="T63" s="14">
        <v>85</v>
      </c>
      <c r="U63" s="2">
        <f>MAX(0,U62+($T$126-T63-CUSUM!F63))</f>
        <v>0</v>
      </c>
      <c r="V63" s="14">
        <v>88</v>
      </c>
      <c r="W63" s="2">
        <f>MAX(0,W62+($V$126-V63-CUSUM!F63))</f>
        <v>0</v>
      </c>
      <c r="X63" s="14">
        <v>89</v>
      </c>
      <c r="Y63" s="2">
        <f>MAX(0,Y62+($X$126-X63-CUSUM!F63))</f>
        <v>0</v>
      </c>
      <c r="Z63" s="14">
        <v>89</v>
      </c>
      <c r="AA63" s="2">
        <f>MAX(0,AA62+($Z$126-Z63-CUSUM!F63))</f>
        <v>0</v>
      </c>
      <c r="AB63" s="14">
        <v>79</v>
      </c>
      <c r="AC63" s="2">
        <f>MAX(0,AC62+($AB$126-AB63-CUSUM!F63))</f>
        <v>2.9756097560975405</v>
      </c>
      <c r="AD63" s="14">
        <v>85</v>
      </c>
      <c r="AE63" s="2">
        <f>MAX(0,AE62+($AD$126-AD63-CUSUM!F63))</f>
        <v>5.6341463414634347</v>
      </c>
      <c r="AF63" s="14">
        <v>90</v>
      </c>
      <c r="AG63" s="2">
        <f>MAX(0,AG62+($AF$126-AF63-CUSUM!F63))</f>
        <v>0</v>
      </c>
      <c r="AH63" s="14">
        <v>80</v>
      </c>
      <c r="AI63" s="2">
        <f>MAX(0,AI62+($AH$126-AH63-CUSUM!F63))</f>
        <v>7.9512195121951379</v>
      </c>
      <c r="AJ63" s="14">
        <v>87</v>
      </c>
      <c r="AK63" s="2">
        <f>MAX(0,AK62+($AJ$126-AJ63-CUSUM!F63))</f>
        <v>0</v>
      </c>
      <c r="AL63" s="14">
        <v>88</v>
      </c>
      <c r="AM63" s="2">
        <f>MAX(0,AM62+($AL$126-AL63-CUSUM!F63))</f>
        <v>0</v>
      </c>
      <c r="AN63" s="14">
        <v>74</v>
      </c>
      <c r="AO63" s="2">
        <f>MAX(0,AO62+($AN$126-AN63-CUSUM!F63))</f>
        <v>11.902439024390233</v>
      </c>
    </row>
    <row r="64" spans="1:41" x14ac:dyDescent="0.2">
      <c r="A64" s="8">
        <v>43708</v>
      </c>
      <c r="B64" s="14">
        <v>82</v>
      </c>
      <c r="C64" s="2">
        <f>MAX(0,C63+($B$126-B64-CUSUM!F64))</f>
        <v>1.7154471544715477</v>
      </c>
      <c r="D64" s="14">
        <v>88</v>
      </c>
      <c r="E64" s="2">
        <f>MAX(0,E63+($D$126-D64-CUSUM!F64))</f>
        <v>0</v>
      </c>
      <c r="F64" s="14">
        <v>91</v>
      </c>
      <c r="G64" s="2">
        <f>MAX(0,G63+($F$126-F64-CUSUM!F64))</f>
        <v>0</v>
      </c>
      <c r="H64" s="14">
        <v>84</v>
      </c>
      <c r="I64" s="2">
        <f>MAX(0,I63+($H$126-H64-CUSUM!F64))</f>
        <v>0</v>
      </c>
      <c r="J64" s="14">
        <v>87</v>
      </c>
      <c r="K64" s="2">
        <f>MAX(0,K63+($J$126-J64-CUSUM!F64))</f>
        <v>0</v>
      </c>
      <c r="L64" s="14">
        <v>82</v>
      </c>
      <c r="M64" s="2">
        <f>MAX(0,M63+($L$126-L64-CUSUM!F64))</f>
        <v>0.10569105691055825</v>
      </c>
      <c r="N64" s="14">
        <v>77</v>
      </c>
      <c r="O64" s="2">
        <f>MAX(0,O63+($N$126-N64-CUSUM!F64))</f>
        <v>15.34146341463412</v>
      </c>
      <c r="P64" s="14">
        <v>89</v>
      </c>
      <c r="Q64" s="2">
        <f>MAX(0,Q63+($P$126-P64-CUSUM!F64))</f>
        <v>0</v>
      </c>
      <c r="R64" s="14">
        <v>87</v>
      </c>
      <c r="S64" s="2">
        <f>MAX(0,S63+($R$126-R64-CUSUM!F64))</f>
        <v>0</v>
      </c>
      <c r="T64" s="14">
        <v>85</v>
      </c>
      <c r="U64" s="2">
        <f>MAX(0,U63+($T$126-T64-CUSUM!F64))</f>
        <v>0</v>
      </c>
      <c r="V64" s="14">
        <v>80</v>
      </c>
      <c r="W64" s="2">
        <f>MAX(0,W63+($V$126-V64-CUSUM!F64))</f>
        <v>3.0487804878048763</v>
      </c>
      <c r="X64" s="14">
        <v>86</v>
      </c>
      <c r="Y64" s="2">
        <f>MAX(0,Y63+($X$126-X64-CUSUM!F64))</f>
        <v>0</v>
      </c>
      <c r="Z64" s="14">
        <v>88</v>
      </c>
      <c r="AA64" s="2">
        <f>MAX(0,AA63+($Z$126-Z64-CUSUM!F64))</f>
        <v>0</v>
      </c>
      <c r="AB64" s="14">
        <v>79</v>
      </c>
      <c r="AC64" s="2">
        <f>MAX(0,AC63+($AB$126-AB64-CUSUM!F64))</f>
        <v>4.9674796747967207</v>
      </c>
      <c r="AD64" s="14">
        <v>89</v>
      </c>
      <c r="AE64" s="2">
        <f>MAX(0,AE63+($AD$126-AD64-CUSUM!F64))</f>
        <v>3.8455284552845796</v>
      </c>
      <c r="AF64" s="14">
        <v>92</v>
      </c>
      <c r="AG64" s="2">
        <f>MAX(0,AG63+($AF$126-AF64-CUSUM!F64))</f>
        <v>0</v>
      </c>
      <c r="AH64" s="14">
        <v>89</v>
      </c>
      <c r="AI64" s="2">
        <f>MAX(0,AI63+($AH$126-AH64-CUSUM!F64))</f>
        <v>3.6016260162601839</v>
      </c>
      <c r="AJ64" s="14">
        <v>90</v>
      </c>
      <c r="AK64" s="2">
        <f>MAX(0,AK63+($AJ$126-AJ64-CUSUM!F64))</f>
        <v>0</v>
      </c>
      <c r="AL64" s="14">
        <v>89</v>
      </c>
      <c r="AM64" s="2">
        <f>MAX(0,AM63+($AL$126-AL64-CUSUM!F64))</f>
        <v>0</v>
      </c>
      <c r="AN64" s="14">
        <v>84</v>
      </c>
      <c r="AO64" s="2">
        <f>MAX(0,AO63+($AN$126-AN64-CUSUM!F64))</f>
        <v>11.203252032520311</v>
      </c>
    </row>
    <row r="65" spans="1:41" x14ac:dyDescent="0.2">
      <c r="A65" s="8">
        <v>43709</v>
      </c>
      <c r="B65" s="14">
        <v>80</v>
      </c>
      <c r="C65" s="2">
        <f>MAX(0,C64+($B$126-B65-CUSUM!F65))</f>
        <v>5.4308943089430954</v>
      </c>
      <c r="D65" s="14">
        <v>88</v>
      </c>
      <c r="E65" s="2">
        <f>MAX(0,E64+($D$126-D65-CUSUM!F65))</f>
        <v>0</v>
      </c>
      <c r="F65" s="14">
        <v>87</v>
      </c>
      <c r="G65" s="2">
        <f>MAX(0,G64+($F$126-F65-CUSUM!F65))</f>
        <v>0</v>
      </c>
      <c r="H65" s="14">
        <v>88</v>
      </c>
      <c r="I65" s="2">
        <f>MAX(0,I64+($H$126-H65-CUSUM!F65))</f>
        <v>0</v>
      </c>
      <c r="J65" s="14">
        <v>79</v>
      </c>
      <c r="K65" s="2">
        <f>MAX(0,K64+($J$126-J65-CUSUM!F65))</f>
        <v>5.0325203252032509</v>
      </c>
      <c r="L65" s="14">
        <v>80</v>
      </c>
      <c r="M65" s="2">
        <f>MAX(0,M64+($L$126-L65-CUSUM!F65))</f>
        <v>1.6585365853658374</v>
      </c>
      <c r="N65" s="14">
        <v>84</v>
      </c>
      <c r="O65" s="2">
        <f>MAX(0,O64+($N$126-N65-CUSUM!F65))</f>
        <v>14.92682926829265</v>
      </c>
      <c r="P65" s="14">
        <v>88</v>
      </c>
      <c r="Q65" s="2">
        <f>MAX(0,Q64+($P$126-P65-CUSUM!F65))</f>
        <v>0</v>
      </c>
      <c r="R65" s="14">
        <v>82</v>
      </c>
      <c r="S65" s="2">
        <f>MAX(0,S64+($R$126-R65-CUSUM!F65))</f>
        <v>0</v>
      </c>
      <c r="T65" s="14">
        <v>85</v>
      </c>
      <c r="U65" s="2">
        <f>MAX(0,U64+($T$126-T65-CUSUM!F65))</f>
        <v>0</v>
      </c>
      <c r="V65" s="14">
        <v>85</v>
      </c>
      <c r="W65" s="2">
        <f>MAX(0,W64+($V$126-V65-CUSUM!F65))</f>
        <v>1.0975609756097526</v>
      </c>
      <c r="X65" s="14">
        <v>84</v>
      </c>
      <c r="Y65" s="2">
        <f>MAX(0,Y64+($X$126-X65-CUSUM!F65))</f>
        <v>1.3983739837398304</v>
      </c>
      <c r="Z65" s="14">
        <v>81</v>
      </c>
      <c r="AA65" s="2">
        <f>MAX(0,AA64+($Z$126-Z65-CUSUM!F65))</f>
        <v>1.5121951219512226</v>
      </c>
      <c r="AB65" s="14">
        <v>71</v>
      </c>
      <c r="AC65" s="2">
        <f>MAX(0,AC64+($AB$126-AB65-CUSUM!F65))</f>
        <v>14.959349593495901</v>
      </c>
      <c r="AD65" s="14">
        <v>90</v>
      </c>
      <c r="AE65" s="2">
        <f>MAX(0,AE64+($AD$126-AD65-CUSUM!F65))</f>
        <v>1.0569105691057246</v>
      </c>
      <c r="AF65" s="14">
        <v>95</v>
      </c>
      <c r="AG65" s="2">
        <f>MAX(0,AG64+($AF$126-AF65-CUSUM!F65))</f>
        <v>0</v>
      </c>
      <c r="AH65" s="14">
        <v>91</v>
      </c>
      <c r="AI65" s="2">
        <f>MAX(0,AI64+($AH$126-AH65-CUSUM!F65))</f>
        <v>0</v>
      </c>
      <c r="AJ65" s="14">
        <v>90</v>
      </c>
      <c r="AK65" s="2">
        <f>MAX(0,AK64+($AJ$126-AJ65-CUSUM!F65))</f>
        <v>0</v>
      </c>
      <c r="AL65" s="14">
        <v>90</v>
      </c>
      <c r="AM65" s="2">
        <f>MAX(0,AM64+($AL$126-AL65-CUSUM!F65))</f>
        <v>0</v>
      </c>
      <c r="AN65" s="14">
        <v>87</v>
      </c>
      <c r="AO65" s="2">
        <f>MAX(0,AO64+($AN$126-AN65-CUSUM!F65))</f>
        <v>7.5040650406503886</v>
      </c>
    </row>
    <row r="66" spans="1:41" x14ac:dyDescent="0.2">
      <c r="A66" s="8">
        <v>43710</v>
      </c>
      <c r="B66" s="14">
        <v>73</v>
      </c>
      <c r="C66" s="2">
        <f>MAX(0,C65+($B$126-B66-CUSUM!F66))</f>
        <v>16.146341463414643</v>
      </c>
      <c r="D66" s="14">
        <v>91</v>
      </c>
      <c r="E66" s="2">
        <f>MAX(0,E65+($D$126-D66-CUSUM!F66))</f>
        <v>0</v>
      </c>
      <c r="F66" s="14">
        <v>84</v>
      </c>
      <c r="G66" s="2">
        <f>MAX(0,G65+($F$126-F66-CUSUM!F66))</f>
        <v>0.26016260162602123</v>
      </c>
      <c r="H66" s="14">
        <v>91</v>
      </c>
      <c r="I66" s="2">
        <f>MAX(0,I65+($H$126-H66-CUSUM!F66))</f>
        <v>0</v>
      </c>
      <c r="J66" s="14">
        <v>81</v>
      </c>
      <c r="K66" s="2">
        <f>MAX(0,K65+($J$126-J66-CUSUM!F66))</f>
        <v>8.0650406504065018</v>
      </c>
      <c r="L66" s="14">
        <v>75</v>
      </c>
      <c r="M66" s="2">
        <f>MAX(0,M65+($L$126-L66-CUSUM!F66))</f>
        <v>8.2113821138211165</v>
      </c>
      <c r="N66" s="14">
        <v>84</v>
      </c>
      <c r="O66" s="2">
        <f>MAX(0,O65+($N$126-N66-CUSUM!F66))</f>
        <v>14.51219512195118</v>
      </c>
      <c r="P66" s="14">
        <v>86</v>
      </c>
      <c r="Q66" s="2">
        <f>MAX(0,Q65+($P$126-P66-CUSUM!F66))</f>
        <v>0</v>
      </c>
      <c r="R66" s="14">
        <v>80</v>
      </c>
      <c r="S66" s="2">
        <f>MAX(0,S65+($R$126-R66-CUSUM!F66))</f>
        <v>1.764227642276424</v>
      </c>
      <c r="T66" s="14">
        <v>88</v>
      </c>
      <c r="U66" s="2">
        <f>MAX(0,U65+($T$126-T66-CUSUM!F66))</f>
        <v>0</v>
      </c>
      <c r="V66" s="14">
        <v>86</v>
      </c>
      <c r="W66" s="2">
        <f>MAX(0,W65+($V$126-V66-CUSUM!F66))</f>
        <v>0</v>
      </c>
      <c r="X66" s="14">
        <v>83</v>
      </c>
      <c r="Y66" s="2">
        <f>MAX(0,Y65+($X$126-X66-CUSUM!F66))</f>
        <v>3.7967479674796607</v>
      </c>
      <c r="Z66" s="14">
        <v>85</v>
      </c>
      <c r="AA66" s="2">
        <f>MAX(0,AA65+($Z$126-Z66-CUSUM!F66))</f>
        <v>0</v>
      </c>
      <c r="AB66" s="14">
        <v>78</v>
      </c>
      <c r="AC66" s="2">
        <f>MAX(0,AC65+($AB$126-AB66-CUSUM!F66))</f>
        <v>17.951219512195081</v>
      </c>
      <c r="AD66" s="14">
        <v>91</v>
      </c>
      <c r="AE66" s="2">
        <f>MAX(0,AE65+($AD$126-AD66-CUSUM!F66))</f>
        <v>0</v>
      </c>
      <c r="AF66" s="14">
        <v>96</v>
      </c>
      <c r="AG66" s="2">
        <f>MAX(0,AG65+($AF$126-AF66-CUSUM!F66))</f>
        <v>0</v>
      </c>
      <c r="AH66" s="14">
        <v>89</v>
      </c>
      <c r="AI66" s="2">
        <f>MAX(0,AI65+($AH$126-AH66-CUSUM!F66))</f>
        <v>0</v>
      </c>
      <c r="AJ66" s="14">
        <v>84</v>
      </c>
      <c r="AK66" s="2">
        <f>MAX(0,AK65+($AJ$126-AJ66-CUSUM!F66))</f>
        <v>0</v>
      </c>
      <c r="AL66" s="14">
        <v>90</v>
      </c>
      <c r="AM66" s="2">
        <f>MAX(0,AM65+($AL$126-AL66-CUSUM!F66))</f>
        <v>0</v>
      </c>
      <c r="AN66" s="14">
        <v>90</v>
      </c>
      <c r="AO66" s="2">
        <f>MAX(0,AO65+($AN$126-AN66-CUSUM!F66))</f>
        <v>0.80487804878046632</v>
      </c>
    </row>
    <row r="67" spans="1:41" x14ac:dyDescent="0.2">
      <c r="A67" s="8">
        <v>43711</v>
      </c>
      <c r="B67" s="14">
        <v>87</v>
      </c>
      <c r="C67" s="2">
        <f>MAX(0,C66+($B$126-B67-CUSUM!F67))</f>
        <v>12.861788617886191</v>
      </c>
      <c r="D67" s="14">
        <v>93</v>
      </c>
      <c r="E67" s="2">
        <f>MAX(0,E66+($D$126-D67-CUSUM!F67))</f>
        <v>0</v>
      </c>
      <c r="F67" s="14">
        <v>77</v>
      </c>
      <c r="G67" s="2">
        <f>MAX(0,G66+($F$126-F67-CUSUM!F67))</f>
        <v>7.5203252032520425</v>
      </c>
      <c r="H67" s="14">
        <v>84</v>
      </c>
      <c r="I67" s="2">
        <f>MAX(0,I66+($H$126-H67-CUSUM!F67))</f>
        <v>0</v>
      </c>
      <c r="J67" s="14">
        <v>82</v>
      </c>
      <c r="K67" s="2">
        <f>MAX(0,K66+($J$126-J67-CUSUM!F67))</f>
        <v>10.097560975609753</v>
      </c>
      <c r="L67" s="14">
        <v>73</v>
      </c>
      <c r="M67" s="2">
        <f>MAX(0,M66+($L$126-L67-CUSUM!F67))</f>
        <v>16.764227642276396</v>
      </c>
      <c r="N67" s="14">
        <v>89</v>
      </c>
      <c r="O67" s="2">
        <f>MAX(0,O66+($N$126-N67-CUSUM!F67))</f>
        <v>9.09756097560971</v>
      </c>
      <c r="P67" s="14">
        <v>87</v>
      </c>
      <c r="Q67" s="2">
        <f>MAX(0,Q66+($P$126-P67-CUSUM!F67))</f>
        <v>0</v>
      </c>
      <c r="R67" s="14">
        <v>81</v>
      </c>
      <c r="S67" s="2">
        <f>MAX(0,S66+($R$126-R67-CUSUM!F67))</f>
        <v>2.5284552845528481</v>
      </c>
      <c r="T67" s="14">
        <v>87</v>
      </c>
      <c r="U67" s="2">
        <f>MAX(0,U66+($T$126-T67-CUSUM!F67))</f>
        <v>0</v>
      </c>
      <c r="V67" s="14">
        <v>85</v>
      </c>
      <c r="W67" s="2">
        <f>MAX(0,W66+($V$126-V67-CUSUM!F67))</f>
        <v>0</v>
      </c>
      <c r="X67" s="14">
        <v>88</v>
      </c>
      <c r="Y67" s="2">
        <f>MAX(0,Y66+($X$126-X67-CUSUM!F67))</f>
        <v>1.1951219512194911</v>
      </c>
      <c r="Z67" s="14">
        <v>83</v>
      </c>
      <c r="AA67" s="2">
        <f>MAX(0,AA66+($Z$126-Z67-CUSUM!F67))</f>
        <v>0</v>
      </c>
      <c r="AB67" s="14">
        <v>79</v>
      </c>
      <c r="AC67" s="2">
        <f>MAX(0,AC66+($AB$126-AB67-CUSUM!F67))</f>
        <v>19.943089430894261</v>
      </c>
      <c r="AD67" s="14">
        <v>92</v>
      </c>
      <c r="AE67" s="2">
        <f>MAX(0,AE66+($AD$126-AD67-CUSUM!F67))</f>
        <v>0</v>
      </c>
      <c r="AF67" s="14">
        <v>95</v>
      </c>
      <c r="AG67" s="2">
        <f>MAX(0,AG66+($AF$126-AF67-CUSUM!F67))</f>
        <v>0</v>
      </c>
      <c r="AH67" s="14">
        <v>85</v>
      </c>
      <c r="AI67" s="2">
        <f>MAX(0,AI66+($AH$126-AH67-CUSUM!F67))</f>
        <v>0</v>
      </c>
      <c r="AJ67" s="14">
        <v>90</v>
      </c>
      <c r="AK67" s="2">
        <f>MAX(0,AK66+($AJ$126-AJ67-CUSUM!F67))</f>
        <v>0</v>
      </c>
      <c r="AL67" s="14">
        <v>92</v>
      </c>
      <c r="AM67" s="2">
        <f>MAX(0,AM66+($AL$126-AL67-CUSUM!F67))</f>
        <v>0</v>
      </c>
      <c r="AN67" s="14">
        <v>89</v>
      </c>
      <c r="AO67" s="2">
        <f>MAX(0,AO66+($AN$126-AN67-CUSUM!F67))</f>
        <v>0</v>
      </c>
    </row>
    <row r="68" spans="1:41" x14ac:dyDescent="0.2">
      <c r="A68" s="8">
        <v>43712</v>
      </c>
      <c r="B68" s="14">
        <v>84</v>
      </c>
      <c r="C68" s="2">
        <f>MAX(0,C67+($B$126-B68-CUSUM!F68))</f>
        <v>12.577235772357739</v>
      </c>
      <c r="D68" s="14">
        <v>81</v>
      </c>
      <c r="E68" s="2">
        <f>MAX(0,E67+($D$126-D68-CUSUM!F68))</f>
        <v>0.67479674796747702</v>
      </c>
      <c r="F68" s="14">
        <v>90</v>
      </c>
      <c r="G68" s="2">
        <f>MAX(0,G67+($F$126-F68-CUSUM!F68))</f>
        <v>1.7804878048780637</v>
      </c>
      <c r="H68" s="14">
        <v>93</v>
      </c>
      <c r="I68" s="2">
        <f>MAX(0,I67+($H$126-H68-CUSUM!F68))</f>
        <v>0</v>
      </c>
      <c r="J68" s="14">
        <v>87</v>
      </c>
      <c r="K68" s="2">
        <f>MAX(0,K67+($J$126-J68-CUSUM!F68))</f>
        <v>7.1300813008130035</v>
      </c>
      <c r="L68" s="14">
        <v>81</v>
      </c>
      <c r="M68" s="2">
        <f>MAX(0,M67+($L$126-L68-CUSUM!F68))</f>
        <v>17.317073170731675</v>
      </c>
      <c r="N68" s="14">
        <v>95</v>
      </c>
      <c r="O68" s="2">
        <f>MAX(0,O67+($N$126-N68-CUSUM!F68))</f>
        <v>0</v>
      </c>
      <c r="P68" s="14">
        <v>87</v>
      </c>
      <c r="Q68" s="2">
        <f>MAX(0,Q67+($P$126-P68-CUSUM!F68))</f>
        <v>0</v>
      </c>
      <c r="R68" s="14">
        <v>82</v>
      </c>
      <c r="S68" s="2">
        <f>MAX(0,S67+($R$126-R68-CUSUM!F68))</f>
        <v>2.2926829268292721</v>
      </c>
      <c r="T68" s="14">
        <v>85</v>
      </c>
      <c r="U68" s="2">
        <f>MAX(0,U67+($T$126-T68-CUSUM!F68))</f>
        <v>0</v>
      </c>
      <c r="V68" s="14">
        <v>88</v>
      </c>
      <c r="W68" s="2">
        <f>MAX(0,W67+($V$126-V68-CUSUM!F68))</f>
        <v>0</v>
      </c>
      <c r="X68" s="14">
        <v>91</v>
      </c>
      <c r="Y68" s="2">
        <f>MAX(0,Y67+($X$126-X68-CUSUM!F68))</f>
        <v>0</v>
      </c>
      <c r="Z68" s="14">
        <v>85</v>
      </c>
      <c r="AA68" s="2">
        <f>MAX(0,AA67+($Z$126-Z68-CUSUM!F68))</f>
        <v>0</v>
      </c>
      <c r="AB68" s="14">
        <v>83</v>
      </c>
      <c r="AC68" s="2">
        <f>MAX(0,AC67+($AB$126-AB68-CUSUM!F68))</f>
        <v>17.934959349593441</v>
      </c>
      <c r="AD68" s="14">
        <v>84</v>
      </c>
      <c r="AE68" s="2">
        <f>MAX(0,AE67+($AD$126-AD68-CUSUM!F68))</f>
        <v>3.2113821138211449</v>
      </c>
      <c r="AF68" s="14">
        <v>80</v>
      </c>
      <c r="AG68" s="2">
        <f>MAX(0,AG67+($AF$126-AF68-CUSUM!F68))</f>
        <v>5.2764227642276467</v>
      </c>
      <c r="AH68" s="14">
        <v>77</v>
      </c>
      <c r="AI68" s="2">
        <f>MAX(0,AI67+($AH$126-AH68-CUSUM!F68))</f>
        <v>7.650406504065046</v>
      </c>
      <c r="AJ68" s="14">
        <v>89</v>
      </c>
      <c r="AK68" s="2">
        <f>MAX(0,AK67+($AJ$126-AJ68-CUSUM!F68))</f>
        <v>0</v>
      </c>
      <c r="AL68" s="14">
        <v>82</v>
      </c>
      <c r="AM68" s="2">
        <f>MAX(0,AM67+($AL$126-AL68-CUSUM!F68))</f>
        <v>1.9430894308943039</v>
      </c>
      <c r="AN68" s="14">
        <v>92</v>
      </c>
      <c r="AO68" s="2">
        <f>MAX(0,AO67+($AN$126-AN68-CUSUM!F68))</f>
        <v>0</v>
      </c>
    </row>
    <row r="69" spans="1:41" x14ac:dyDescent="0.2">
      <c r="A69" s="8">
        <v>43713</v>
      </c>
      <c r="B69" s="14">
        <v>87</v>
      </c>
      <c r="C69" s="2">
        <f>MAX(0,C68+($B$126-B69-CUSUM!F69))</f>
        <v>9.2926829268292863</v>
      </c>
      <c r="D69" s="14">
        <v>81</v>
      </c>
      <c r="E69" s="2">
        <f>MAX(0,E68+($D$126-D69-CUSUM!F69))</f>
        <v>1.349593495934954</v>
      </c>
      <c r="F69" s="14">
        <v>91</v>
      </c>
      <c r="G69" s="2">
        <f>MAX(0,G68+($F$126-F69-CUSUM!F69))</f>
        <v>0</v>
      </c>
      <c r="H69" s="14">
        <v>96</v>
      </c>
      <c r="I69" s="2">
        <f>MAX(0,I68+($H$126-H69-CUSUM!F69))</f>
        <v>0</v>
      </c>
      <c r="J69" s="14">
        <v>81</v>
      </c>
      <c r="K69" s="2">
        <f>MAX(0,K68+($J$126-J69-CUSUM!F69))</f>
        <v>10.162601626016254</v>
      </c>
      <c r="L69" s="14">
        <v>90</v>
      </c>
      <c r="M69" s="2">
        <f>MAX(0,M68+($L$126-L69-CUSUM!F69))</f>
        <v>8.8699186991869539</v>
      </c>
      <c r="N69" s="14">
        <v>93</v>
      </c>
      <c r="O69" s="2">
        <f>MAX(0,O68+($N$126-N69-CUSUM!F69))</f>
        <v>0</v>
      </c>
      <c r="P69" s="14">
        <v>84</v>
      </c>
      <c r="Q69" s="2">
        <f>MAX(0,Q68+($P$126-P69-CUSUM!F69))</f>
        <v>0</v>
      </c>
      <c r="R69" s="14">
        <v>84</v>
      </c>
      <c r="S69" s="2">
        <f>MAX(0,S68+($R$126-R69-CUSUM!F69))</f>
        <v>5.691056910569614E-2</v>
      </c>
      <c r="T69" s="14">
        <v>81</v>
      </c>
      <c r="U69" s="2">
        <f>MAX(0,U68+($T$126-T69-CUSUM!F69))</f>
        <v>2.3577235772357739</v>
      </c>
      <c r="V69" s="14">
        <v>83</v>
      </c>
      <c r="W69" s="2">
        <f>MAX(0,W68+($V$126-V69-CUSUM!F69))</f>
        <v>4.8780487804876316E-2</v>
      </c>
      <c r="X69" s="14">
        <v>89</v>
      </c>
      <c r="Y69" s="2">
        <f>MAX(0,Y68+($X$126-X69-CUSUM!F69))</f>
        <v>0</v>
      </c>
      <c r="Z69" s="14">
        <v>88</v>
      </c>
      <c r="AA69" s="2">
        <f>MAX(0,AA68+($Z$126-Z69-CUSUM!F69))</f>
        <v>0</v>
      </c>
      <c r="AB69" s="14">
        <v>83</v>
      </c>
      <c r="AC69" s="2">
        <f>MAX(0,AC68+($AB$126-AB69-CUSUM!F69))</f>
        <v>15.926829268292622</v>
      </c>
      <c r="AD69" s="14">
        <v>85</v>
      </c>
      <c r="AE69" s="2">
        <f>MAX(0,AE68+($AD$126-AD69-CUSUM!F69))</f>
        <v>5.4227642276422898</v>
      </c>
      <c r="AF69" s="14">
        <v>78</v>
      </c>
      <c r="AG69" s="2">
        <f>MAX(0,AG68+($AF$126-AF69-CUSUM!F69))</f>
        <v>12.552845528455293</v>
      </c>
      <c r="AH69" s="14">
        <v>85</v>
      </c>
      <c r="AI69" s="2">
        <f>MAX(0,AI68+($AH$126-AH69-CUSUM!F69))</f>
        <v>7.3008130081300919</v>
      </c>
      <c r="AJ69" s="14">
        <v>89</v>
      </c>
      <c r="AK69" s="2">
        <f>MAX(0,AK68+($AJ$126-AJ69-CUSUM!F69))</f>
        <v>0</v>
      </c>
      <c r="AL69" s="14">
        <v>89</v>
      </c>
      <c r="AM69" s="2">
        <f>MAX(0,AM68+($AL$126-AL69-CUSUM!F69))</f>
        <v>0</v>
      </c>
      <c r="AN69" s="14">
        <v>87</v>
      </c>
      <c r="AO69" s="2">
        <f>MAX(0,AO68+($AN$126-AN69-CUSUM!F69))</f>
        <v>0</v>
      </c>
    </row>
    <row r="70" spans="1:41" x14ac:dyDescent="0.2">
      <c r="A70" s="8">
        <v>43714</v>
      </c>
      <c r="B70" s="14">
        <v>89</v>
      </c>
      <c r="C70" s="2">
        <f>MAX(0,C69+($B$126-B70-CUSUM!F70))</f>
        <v>4.008130081300834</v>
      </c>
      <c r="D70" s="14">
        <v>82</v>
      </c>
      <c r="E70" s="2">
        <f>MAX(0,E69+($D$126-D70-CUSUM!F70))</f>
        <v>1.0243902439024311</v>
      </c>
      <c r="F70" s="14">
        <v>89</v>
      </c>
      <c r="G70" s="2">
        <f>MAX(0,G69+($F$126-F70-CUSUM!F70))</f>
        <v>0</v>
      </c>
      <c r="H70" s="14">
        <v>96</v>
      </c>
      <c r="I70" s="2">
        <f>MAX(0,I69+($H$126-H70-CUSUM!F70))</f>
        <v>0</v>
      </c>
      <c r="J70" s="14">
        <v>66</v>
      </c>
      <c r="K70" s="9">
        <f>MAX(0,K69+($J$126-J70-CUSUM!F70))</f>
        <v>28.195121951219505</v>
      </c>
      <c r="L70" s="14">
        <v>88</v>
      </c>
      <c r="M70" s="2">
        <f>MAX(0,M69+($L$126-L70-CUSUM!F70))</f>
        <v>2.422764227642233</v>
      </c>
      <c r="N70" s="14">
        <v>91</v>
      </c>
      <c r="O70" s="2">
        <f>MAX(0,O69+($N$126-N70-CUSUM!F70))</f>
        <v>0</v>
      </c>
      <c r="P70" s="14">
        <v>73</v>
      </c>
      <c r="Q70" s="2">
        <f>MAX(0,Q69+($P$126-P70-CUSUM!F70))</f>
        <v>8.4796747967479718</v>
      </c>
      <c r="R70" s="14">
        <v>81</v>
      </c>
      <c r="S70" s="2">
        <f>MAX(0,S69+($R$126-R70-CUSUM!F70))</f>
        <v>0.82113821138212018</v>
      </c>
      <c r="T70" s="14">
        <v>81</v>
      </c>
      <c r="U70" s="2">
        <f>MAX(0,U69+($T$126-T70-CUSUM!F70))</f>
        <v>4.7154471544715477</v>
      </c>
      <c r="V70" s="14">
        <v>85</v>
      </c>
      <c r="W70" s="2">
        <f>MAX(0,W69+($V$126-V70-CUSUM!F70))</f>
        <v>0</v>
      </c>
      <c r="X70" s="14">
        <v>85</v>
      </c>
      <c r="Y70" s="2">
        <f>MAX(0,Y69+($X$126-X70-CUSUM!F70))</f>
        <v>0.39837398373983035</v>
      </c>
      <c r="Z70" s="14">
        <v>87</v>
      </c>
      <c r="AA70" s="2">
        <f>MAX(0,AA69+($Z$126-Z70-CUSUM!F70))</f>
        <v>0</v>
      </c>
      <c r="AB70" s="14">
        <v>85</v>
      </c>
      <c r="AC70" s="2">
        <f>MAX(0,AC69+($AB$126-AB70-CUSUM!F70))</f>
        <v>11.918699186991802</v>
      </c>
      <c r="AD70" s="14">
        <v>90</v>
      </c>
      <c r="AE70" s="2">
        <f>MAX(0,AE69+($AD$126-AD70-CUSUM!F70))</f>
        <v>2.6341463414634347</v>
      </c>
      <c r="AF70" s="14">
        <v>75</v>
      </c>
      <c r="AG70" s="9">
        <f>MAX(0,AG69+($AF$126-AF70-CUSUM!F70))</f>
        <v>22.82926829268294</v>
      </c>
      <c r="AH70" s="14">
        <v>85</v>
      </c>
      <c r="AI70" s="2">
        <f>MAX(0,AI69+($AH$126-AH70-CUSUM!F70))</f>
        <v>6.9512195121951379</v>
      </c>
      <c r="AJ70" s="14">
        <v>88</v>
      </c>
      <c r="AK70" s="2">
        <f>MAX(0,AK69+($AJ$126-AJ70-CUSUM!F70))</f>
        <v>0</v>
      </c>
      <c r="AL70" s="14">
        <v>91</v>
      </c>
      <c r="AM70" s="2">
        <f>MAX(0,AM69+($AL$126-AL70-CUSUM!F70))</f>
        <v>0</v>
      </c>
      <c r="AN70" s="14">
        <v>85</v>
      </c>
      <c r="AO70" s="2">
        <f>MAX(0,AO69+($AN$126-AN70-CUSUM!F70))</f>
        <v>0</v>
      </c>
    </row>
    <row r="71" spans="1:41" x14ac:dyDescent="0.2">
      <c r="A71" s="8">
        <v>43715</v>
      </c>
      <c r="B71" s="14">
        <v>89</v>
      </c>
      <c r="C71" s="2">
        <f>MAX(0,C70+($B$126-B71-CUSUM!F71))</f>
        <v>0</v>
      </c>
      <c r="D71" s="14">
        <v>86</v>
      </c>
      <c r="E71" s="2">
        <f>MAX(0,E70+($D$126-D71-CUSUM!F71))</f>
        <v>0</v>
      </c>
      <c r="F71" s="14">
        <v>90</v>
      </c>
      <c r="G71" s="2">
        <f>MAX(0,G70+($F$126-F71-CUSUM!F71))</f>
        <v>0</v>
      </c>
      <c r="H71" s="14">
        <v>91</v>
      </c>
      <c r="I71" s="2">
        <f>MAX(0,I70+($H$126-H71-CUSUM!F71))</f>
        <v>0</v>
      </c>
      <c r="J71" s="14">
        <v>66</v>
      </c>
      <c r="K71" s="2">
        <f>MAX(0,K70+($J$126-J71-CUSUM!F71))</f>
        <v>46.227642276422756</v>
      </c>
      <c r="L71" s="14">
        <v>87</v>
      </c>
      <c r="M71" s="2">
        <f>MAX(0,M70+($L$126-L71-CUSUM!F71))</f>
        <v>0</v>
      </c>
      <c r="N71" s="14">
        <v>88</v>
      </c>
      <c r="O71" s="2">
        <f>MAX(0,O70+($N$126-N71-CUSUM!F71))</f>
        <v>0</v>
      </c>
      <c r="P71" s="14">
        <v>75</v>
      </c>
      <c r="Q71" s="2">
        <f>MAX(0,Q70+($P$126-P71-CUSUM!F71))</f>
        <v>14.959349593495944</v>
      </c>
      <c r="R71" s="14">
        <v>86</v>
      </c>
      <c r="S71" s="2">
        <f>MAX(0,S70+($R$126-R71-CUSUM!F71))</f>
        <v>0</v>
      </c>
      <c r="T71" s="14">
        <v>83</v>
      </c>
      <c r="U71" s="2">
        <f>MAX(0,U70+($T$126-T71-CUSUM!F71))</f>
        <v>5.0731707317073216</v>
      </c>
      <c r="V71" s="14">
        <v>80</v>
      </c>
      <c r="W71" s="2">
        <f>MAX(0,W70+($V$126-V71-CUSUM!F71))</f>
        <v>3.0487804878048763</v>
      </c>
      <c r="X71" s="14">
        <v>86</v>
      </c>
      <c r="Y71" s="2">
        <f>MAX(0,Y70+($X$126-X71-CUSUM!F71))</f>
        <v>0</v>
      </c>
      <c r="Z71" s="14">
        <v>89</v>
      </c>
      <c r="AA71" s="2">
        <f>MAX(0,AA70+($Z$126-Z71-CUSUM!F71))</f>
        <v>0</v>
      </c>
      <c r="AB71" s="14">
        <v>84</v>
      </c>
      <c r="AC71" s="2">
        <f>MAX(0,AC70+($AB$126-AB71-CUSUM!F71))</f>
        <v>8.9105691056909819</v>
      </c>
      <c r="AD71" s="14">
        <v>91</v>
      </c>
      <c r="AE71" s="2">
        <f>MAX(0,AE70+($AD$126-AD71-CUSUM!F71))</f>
        <v>0</v>
      </c>
      <c r="AF71" s="14">
        <v>69</v>
      </c>
      <c r="AG71" s="2">
        <f>MAX(0,AG70+($AF$126-AF71-CUSUM!F71))</f>
        <v>39.105691056910587</v>
      </c>
      <c r="AH71" s="14">
        <v>92</v>
      </c>
      <c r="AI71" s="2">
        <f>MAX(0,AI70+($AH$126-AH71-CUSUM!F71))</f>
        <v>0</v>
      </c>
      <c r="AJ71" s="14">
        <v>88</v>
      </c>
      <c r="AK71" s="2">
        <f>MAX(0,AK70+($AJ$126-AJ71-CUSUM!F71))</f>
        <v>0</v>
      </c>
      <c r="AL71" s="14">
        <v>90</v>
      </c>
      <c r="AM71" s="2">
        <f>MAX(0,AM70+($AL$126-AL71-CUSUM!F71))</f>
        <v>0</v>
      </c>
      <c r="AN71" s="14">
        <v>85</v>
      </c>
      <c r="AO71" s="2">
        <f>MAX(0,AO70+($AN$126-AN71-CUSUM!F71))</f>
        <v>0</v>
      </c>
    </row>
    <row r="72" spans="1:41" x14ac:dyDescent="0.2">
      <c r="A72" s="8">
        <v>43716</v>
      </c>
      <c r="B72" s="14">
        <v>89</v>
      </c>
      <c r="C72" s="2">
        <f>MAX(0,C71+($B$126-B72-CUSUM!F72))</f>
        <v>0</v>
      </c>
      <c r="D72" s="14">
        <v>88</v>
      </c>
      <c r="E72" s="2">
        <f>MAX(0,E71+($D$126-D72-CUSUM!F72))</f>
        <v>0</v>
      </c>
      <c r="F72" s="14">
        <v>89</v>
      </c>
      <c r="G72" s="2">
        <f>MAX(0,G71+($F$126-F72-CUSUM!F72))</f>
        <v>0</v>
      </c>
      <c r="H72" s="14">
        <v>91</v>
      </c>
      <c r="I72" s="2">
        <f>MAX(0,I71+($H$126-H72-CUSUM!F72))</f>
        <v>0</v>
      </c>
      <c r="J72" s="14">
        <v>75</v>
      </c>
      <c r="K72" s="2">
        <f>MAX(0,K71+($J$126-J72-CUSUM!F72))</f>
        <v>55.260162601626007</v>
      </c>
      <c r="L72" s="14">
        <v>86</v>
      </c>
      <c r="M72" s="2">
        <f>MAX(0,M71+($L$126-L72-CUSUM!F72))</f>
        <v>0</v>
      </c>
      <c r="N72" s="14">
        <v>87</v>
      </c>
      <c r="O72" s="2">
        <f>MAX(0,O71+($N$126-N72-CUSUM!F72))</f>
        <v>0</v>
      </c>
      <c r="P72" s="14">
        <v>81</v>
      </c>
      <c r="Q72" s="2">
        <f>MAX(0,Q71+($P$126-P72-CUSUM!F72))</f>
        <v>15.439024390243915</v>
      </c>
      <c r="R72" s="14">
        <v>73</v>
      </c>
      <c r="S72" s="2">
        <f>MAX(0,S71+($R$126-R72-CUSUM!F72))</f>
        <v>8.764227642276424</v>
      </c>
      <c r="T72" s="14">
        <v>85</v>
      </c>
      <c r="U72" s="2">
        <f>MAX(0,U71+($T$126-T72-CUSUM!F72))</f>
        <v>3.4308943089430954</v>
      </c>
      <c r="V72" s="14">
        <v>83</v>
      </c>
      <c r="W72" s="2">
        <f>MAX(0,W71+($V$126-V72-CUSUM!F72))</f>
        <v>3.0975609756097526</v>
      </c>
      <c r="X72" s="14">
        <v>88</v>
      </c>
      <c r="Y72" s="2">
        <f>MAX(0,Y71+($X$126-X72-CUSUM!F72))</f>
        <v>0</v>
      </c>
      <c r="Z72" s="14">
        <v>90</v>
      </c>
      <c r="AA72" s="2">
        <f>MAX(0,AA71+($Z$126-Z72-CUSUM!F72))</f>
        <v>0</v>
      </c>
      <c r="AB72" s="14">
        <v>87</v>
      </c>
      <c r="AC72" s="2">
        <f>MAX(0,AC71+($AB$126-AB72-CUSUM!F72))</f>
        <v>2.9024390243901621</v>
      </c>
      <c r="AD72" s="14">
        <v>93</v>
      </c>
      <c r="AE72" s="2">
        <f>MAX(0,AE71+($AD$126-AD72-CUSUM!F72))</f>
        <v>0</v>
      </c>
      <c r="AF72" s="14">
        <v>73</v>
      </c>
      <c r="AG72" s="2">
        <f>MAX(0,AG71+($AF$126-AF72-CUSUM!F72))</f>
        <v>51.382113821138233</v>
      </c>
      <c r="AH72" s="14">
        <v>88</v>
      </c>
      <c r="AI72" s="2">
        <f>MAX(0,AI71+($AH$126-AH72-CUSUM!F72))</f>
        <v>0</v>
      </c>
      <c r="AJ72" s="14">
        <v>91</v>
      </c>
      <c r="AK72" s="2">
        <f>MAX(0,AK71+($AJ$126-AJ72-CUSUM!F72))</f>
        <v>0</v>
      </c>
      <c r="AL72" s="14">
        <v>84</v>
      </c>
      <c r="AM72" s="2">
        <f>MAX(0,AM71+($AL$126-AL72-CUSUM!F72))</f>
        <v>0</v>
      </c>
      <c r="AN72" s="14">
        <v>84</v>
      </c>
      <c r="AO72" s="2">
        <f>MAX(0,AO71+($AN$126-AN72-CUSUM!F72))</f>
        <v>0</v>
      </c>
    </row>
    <row r="73" spans="1:41" x14ac:dyDescent="0.2">
      <c r="A73" s="8">
        <v>43717</v>
      </c>
      <c r="B73" s="14">
        <v>91</v>
      </c>
      <c r="C73" s="2">
        <f>MAX(0,C72+($B$126-B73-CUSUM!F73))</f>
        <v>0</v>
      </c>
      <c r="D73" s="14">
        <v>84</v>
      </c>
      <c r="E73" s="2">
        <f>MAX(0,E72+($D$126-D73-CUSUM!F73))</f>
        <v>0</v>
      </c>
      <c r="F73" s="14">
        <v>79</v>
      </c>
      <c r="G73" s="2">
        <f>MAX(0,G72+($F$126-F73-CUSUM!F73))</f>
        <v>5.2601626016260212</v>
      </c>
      <c r="H73" s="14">
        <v>77</v>
      </c>
      <c r="I73" s="2">
        <f>MAX(0,I72+($H$126-H73-CUSUM!F73))</f>
        <v>6.3577235772357739</v>
      </c>
      <c r="J73" s="14">
        <v>80</v>
      </c>
      <c r="K73" s="2">
        <f>MAX(0,K72+($J$126-J73-CUSUM!F73))</f>
        <v>59.292682926829258</v>
      </c>
      <c r="L73" s="14">
        <v>86</v>
      </c>
      <c r="M73" s="2">
        <f>MAX(0,M72+($L$126-L73-CUSUM!F73))</f>
        <v>0</v>
      </c>
      <c r="N73" s="14">
        <v>91</v>
      </c>
      <c r="O73" s="2">
        <f>MAX(0,O72+($N$126-N73-CUSUM!F73))</f>
        <v>0</v>
      </c>
      <c r="P73" s="14">
        <v>82</v>
      </c>
      <c r="Q73" s="2">
        <f>MAX(0,Q72+($P$126-P73-CUSUM!F73))</f>
        <v>14.918699186991887</v>
      </c>
      <c r="R73" s="14">
        <v>84</v>
      </c>
      <c r="S73" s="2">
        <f>MAX(0,S72+($R$126-R73-CUSUM!F73))</f>
        <v>6.5284552845528481</v>
      </c>
      <c r="T73" s="14">
        <v>86</v>
      </c>
      <c r="U73" s="2">
        <f>MAX(0,U72+($T$126-T73-CUSUM!F73))</f>
        <v>0.7886178861788693</v>
      </c>
      <c r="V73" s="14">
        <v>83</v>
      </c>
      <c r="W73" s="2">
        <f>MAX(0,W72+($V$126-V73-CUSUM!F73))</f>
        <v>3.1463414634146289</v>
      </c>
      <c r="X73" s="14">
        <v>89</v>
      </c>
      <c r="Y73" s="2">
        <f>MAX(0,Y72+($X$126-X73-CUSUM!F73))</f>
        <v>0</v>
      </c>
      <c r="Z73" s="14">
        <v>88</v>
      </c>
      <c r="AA73" s="2">
        <f>MAX(0,AA72+($Z$126-Z73-CUSUM!F73))</f>
        <v>0</v>
      </c>
      <c r="AB73" s="14">
        <v>84</v>
      </c>
      <c r="AC73" s="2">
        <f>MAX(0,AC72+($AB$126-AB73-CUSUM!F73))</f>
        <v>0</v>
      </c>
      <c r="AD73" s="14">
        <v>92</v>
      </c>
      <c r="AE73" s="2">
        <f>MAX(0,AE72+($AD$126-AD73-CUSUM!F73))</f>
        <v>0</v>
      </c>
      <c r="AF73" s="14">
        <v>81</v>
      </c>
      <c r="AG73" s="2">
        <f>MAX(0,AG72+($AF$126-AF73-CUSUM!F73))</f>
        <v>55.65853658536588</v>
      </c>
      <c r="AH73" s="14">
        <v>83</v>
      </c>
      <c r="AI73" s="2">
        <f>MAX(0,AI72+($AH$126-AH73-CUSUM!F73))</f>
        <v>1.650406504065046</v>
      </c>
      <c r="AJ73" s="14">
        <v>90</v>
      </c>
      <c r="AK73" s="2">
        <f>MAX(0,AK72+($AJ$126-AJ73-CUSUM!F73))</f>
        <v>0</v>
      </c>
      <c r="AL73" s="14">
        <v>84</v>
      </c>
      <c r="AM73" s="2">
        <f>MAX(0,AM72+($AL$126-AL73-CUSUM!F73))</f>
        <v>0</v>
      </c>
      <c r="AN73" s="14">
        <v>87</v>
      </c>
      <c r="AO73" s="2">
        <f>MAX(0,AO72+($AN$126-AN73-CUSUM!F73))</f>
        <v>0</v>
      </c>
    </row>
    <row r="74" spans="1:41" x14ac:dyDescent="0.2">
      <c r="A74" s="8">
        <v>43718</v>
      </c>
      <c r="B74" s="14">
        <v>84</v>
      </c>
      <c r="C74" s="2">
        <f>MAX(0,C73+($B$126-B74-CUSUM!F74))</f>
        <v>0</v>
      </c>
      <c r="D74" s="14">
        <v>80</v>
      </c>
      <c r="E74" s="2">
        <f>MAX(0,E73+($D$126-D74-CUSUM!F74))</f>
        <v>1.674796747967477</v>
      </c>
      <c r="F74" s="14">
        <v>78</v>
      </c>
      <c r="G74" s="2">
        <f>MAX(0,G73+($F$126-F74-CUSUM!F74))</f>
        <v>11.520325203252042</v>
      </c>
      <c r="H74" s="14">
        <v>87</v>
      </c>
      <c r="I74" s="2">
        <f>MAX(0,I73+($H$126-H74-CUSUM!F74))</f>
        <v>2.7154471544715477</v>
      </c>
      <c r="J74" s="14">
        <v>82</v>
      </c>
      <c r="K74" s="2">
        <f>MAX(0,K73+($J$126-J74-CUSUM!F74))</f>
        <v>61.325203252032509</v>
      </c>
      <c r="L74" s="14">
        <v>89</v>
      </c>
      <c r="M74" s="2">
        <f>MAX(0,M73+($L$126-L74-CUSUM!F74))</f>
        <v>0</v>
      </c>
      <c r="N74" s="14">
        <v>95</v>
      </c>
      <c r="O74" s="2">
        <f>MAX(0,O73+($N$126-N74-CUSUM!F74))</f>
        <v>0</v>
      </c>
      <c r="P74" s="14">
        <v>79</v>
      </c>
      <c r="Q74" s="2">
        <f>MAX(0,Q73+($P$126-P74-CUSUM!F74))</f>
        <v>17.398373983739859</v>
      </c>
      <c r="R74" s="14">
        <v>84</v>
      </c>
      <c r="S74" s="2">
        <f>MAX(0,S73+($R$126-R74-CUSUM!F74))</f>
        <v>4.2926829268292721</v>
      </c>
      <c r="T74" s="14">
        <v>84</v>
      </c>
      <c r="U74" s="2">
        <f>MAX(0,U73+($T$126-T74-CUSUM!F74))</f>
        <v>0.14634146341464316</v>
      </c>
      <c r="V74" s="14">
        <v>85</v>
      </c>
      <c r="W74" s="2">
        <f>MAX(0,W73+($V$126-V74-CUSUM!F74))</f>
        <v>1.1951219512195053</v>
      </c>
      <c r="X74" s="14">
        <v>89</v>
      </c>
      <c r="Y74" s="2">
        <f>MAX(0,Y73+($X$126-X74-CUSUM!F74))</f>
        <v>0</v>
      </c>
      <c r="Z74" s="14">
        <v>87</v>
      </c>
      <c r="AA74" s="2">
        <f>MAX(0,AA73+($Z$126-Z74-CUSUM!F74))</f>
        <v>0</v>
      </c>
      <c r="AB74" s="14">
        <v>80</v>
      </c>
      <c r="AC74" s="2">
        <f>MAX(0,AC73+($AB$126-AB74-CUSUM!F74))</f>
        <v>0.99186991869918018</v>
      </c>
      <c r="AD74" s="14">
        <v>94</v>
      </c>
      <c r="AE74" s="2">
        <f>MAX(0,AE73+($AD$126-AD74-CUSUM!F74))</f>
        <v>0</v>
      </c>
      <c r="AF74" s="14">
        <v>84</v>
      </c>
      <c r="AG74" s="2">
        <f>MAX(0,AG73+($AF$126-AF74-CUSUM!F74))</f>
        <v>56.934959349593527</v>
      </c>
      <c r="AH74" s="14">
        <v>84</v>
      </c>
      <c r="AI74" s="2">
        <f>MAX(0,AI73+($AH$126-AH74-CUSUM!F74))</f>
        <v>2.3008130081300919</v>
      </c>
      <c r="AJ74" s="14">
        <v>89</v>
      </c>
      <c r="AK74" s="2">
        <f>MAX(0,AK73+($AJ$126-AJ74-CUSUM!F74))</f>
        <v>0</v>
      </c>
      <c r="AL74" s="14">
        <v>86</v>
      </c>
      <c r="AM74" s="2">
        <f>MAX(0,AM73+($AL$126-AL74-CUSUM!F74))</f>
        <v>0</v>
      </c>
      <c r="AN74" s="14">
        <v>85</v>
      </c>
      <c r="AO74" s="2">
        <f>MAX(0,AO73+($AN$126-AN74-CUSUM!F74))</f>
        <v>0</v>
      </c>
    </row>
    <row r="75" spans="1:41" x14ac:dyDescent="0.2">
      <c r="A75" s="8">
        <v>43719</v>
      </c>
      <c r="B75" s="14">
        <v>86</v>
      </c>
      <c r="C75" s="2">
        <f>MAX(0,C74+($B$126-B75-CUSUM!F75))</f>
        <v>0</v>
      </c>
      <c r="D75" s="14">
        <v>82</v>
      </c>
      <c r="E75" s="2">
        <f>MAX(0,E74+($D$126-D75-CUSUM!F75))</f>
        <v>1.349593495934954</v>
      </c>
      <c r="F75" s="14">
        <v>81</v>
      </c>
      <c r="G75" s="2">
        <f>MAX(0,G74+($F$126-F75-CUSUM!F75))</f>
        <v>14.780487804878064</v>
      </c>
      <c r="H75" s="14">
        <v>87</v>
      </c>
      <c r="I75" s="2">
        <f>MAX(0,I74+($H$126-H75-CUSUM!F75))</f>
        <v>0</v>
      </c>
      <c r="J75" s="14">
        <v>84</v>
      </c>
      <c r="K75" s="2">
        <f>MAX(0,K74+($J$126-J75-CUSUM!F75))</f>
        <v>61.35772357723576</v>
      </c>
      <c r="L75" s="14">
        <v>87</v>
      </c>
      <c r="M75" s="2">
        <f>MAX(0,M74+($L$126-L75-CUSUM!F75))</f>
        <v>0</v>
      </c>
      <c r="N75" s="14">
        <v>95</v>
      </c>
      <c r="O75" s="2">
        <f>MAX(0,O74+($N$126-N75-CUSUM!F75))</f>
        <v>0</v>
      </c>
      <c r="P75" s="14">
        <v>80</v>
      </c>
      <c r="Q75" s="2">
        <f>MAX(0,Q74+($P$126-P75-CUSUM!F75))</f>
        <v>18.878048780487831</v>
      </c>
      <c r="R75" s="14">
        <v>84</v>
      </c>
      <c r="S75" s="2">
        <f>MAX(0,S74+($R$126-R75-CUSUM!F75))</f>
        <v>2.0569105691056961</v>
      </c>
      <c r="T75" s="14">
        <v>84</v>
      </c>
      <c r="U75" s="2">
        <f>MAX(0,U74+($T$126-T75-CUSUM!F75))</f>
        <v>0</v>
      </c>
      <c r="V75" s="14">
        <v>84</v>
      </c>
      <c r="W75" s="2">
        <f>MAX(0,W74+($V$126-V75-CUSUM!F75))</f>
        <v>0.24390243902438158</v>
      </c>
      <c r="X75" s="14">
        <v>89</v>
      </c>
      <c r="Y75" s="2">
        <f>MAX(0,Y74+($X$126-X75-CUSUM!F75))</f>
        <v>0</v>
      </c>
      <c r="Z75" s="14">
        <v>83</v>
      </c>
      <c r="AA75" s="2">
        <f>MAX(0,AA74+($Z$126-Z75-CUSUM!F75))</f>
        <v>0</v>
      </c>
      <c r="AB75" s="14">
        <v>75</v>
      </c>
      <c r="AC75" s="2">
        <f>MAX(0,AC74+($AB$126-AB75-CUSUM!F75))</f>
        <v>6.9837398373983604</v>
      </c>
      <c r="AD75" s="14">
        <v>96</v>
      </c>
      <c r="AE75" s="2">
        <f>MAX(0,AE74+($AD$126-AD75-CUSUM!F75))</f>
        <v>0</v>
      </c>
      <c r="AF75" s="14">
        <v>86</v>
      </c>
      <c r="AG75" s="2">
        <f>MAX(0,AG74+($AF$126-AF75-CUSUM!F75))</f>
        <v>56.211382113821173</v>
      </c>
      <c r="AH75" s="14">
        <v>83</v>
      </c>
      <c r="AI75" s="2">
        <f>MAX(0,AI74+($AH$126-AH75-CUSUM!F75))</f>
        <v>3.9512195121951379</v>
      </c>
      <c r="AJ75" s="14">
        <v>89</v>
      </c>
      <c r="AK75" s="2">
        <f>MAX(0,AK74+($AJ$126-AJ75-CUSUM!F75))</f>
        <v>0</v>
      </c>
      <c r="AL75" s="14">
        <v>90</v>
      </c>
      <c r="AM75" s="2">
        <f>MAX(0,AM74+($AL$126-AL75-CUSUM!F75))</f>
        <v>0</v>
      </c>
      <c r="AN75" s="14">
        <v>86</v>
      </c>
      <c r="AO75" s="2">
        <f>MAX(0,AO74+($AN$126-AN75-CUSUM!F75))</f>
        <v>0</v>
      </c>
    </row>
    <row r="76" spans="1:41" x14ac:dyDescent="0.2">
      <c r="A76" s="8">
        <v>43720</v>
      </c>
      <c r="B76" s="14">
        <v>88</v>
      </c>
      <c r="C76" s="2">
        <f>MAX(0,C75+($B$126-B76-CUSUM!F76))</f>
        <v>0</v>
      </c>
      <c r="D76" s="14">
        <v>86</v>
      </c>
      <c r="E76" s="2">
        <f>MAX(0,E75+($D$126-D76-CUSUM!F76))</f>
        <v>0</v>
      </c>
      <c r="F76" s="14">
        <v>84</v>
      </c>
      <c r="G76" s="2">
        <f>MAX(0,G75+($F$126-F76-CUSUM!F76))</f>
        <v>15.040650406504085</v>
      </c>
      <c r="H76" s="14">
        <v>87</v>
      </c>
      <c r="I76" s="2">
        <f>MAX(0,I75+($H$126-H76-CUSUM!F76))</f>
        <v>0</v>
      </c>
      <c r="J76" s="14">
        <v>86</v>
      </c>
      <c r="K76" s="2">
        <f>MAX(0,K75+($J$126-J76-CUSUM!F76))</f>
        <v>59.390243902439011</v>
      </c>
      <c r="L76" s="14">
        <v>84</v>
      </c>
      <c r="M76" s="2">
        <f>MAX(0,M75+($L$126-L76-CUSUM!F76))</f>
        <v>0</v>
      </c>
      <c r="N76" s="14">
        <v>90</v>
      </c>
      <c r="O76" s="2">
        <f>MAX(0,O75+($N$126-N76-CUSUM!F76))</f>
        <v>0</v>
      </c>
      <c r="P76" s="14">
        <v>81</v>
      </c>
      <c r="Q76" s="2">
        <f>MAX(0,Q75+($P$126-P76-CUSUM!F76))</f>
        <v>19.357723577235802</v>
      </c>
      <c r="R76" s="14">
        <v>81</v>
      </c>
      <c r="S76" s="2">
        <f>MAX(0,S75+($R$126-R76-CUSUM!F76))</f>
        <v>2.8211382113821202</v>
      </c>
      <c r="T76" s="14">
        <v>86</v>
      </c>
      <c r="U76" s="2">
        <f>MAX(0,U75+($T$126-T76-CUSUM!F76))</f>
        <v>0</v>
      </c>
      <c r="V76" s="14">
        <v>82</v>
      </c>
      <c r="W76" s="2">
        <f>MAX(0,W75+($V$126-V76-CUSUM!F76))</f>
        <v>1.2926829268292579</v>
      </c>
      <c r="X76" s="14">
        <v>86</v>
      </c>
      <c r="Y76" s="2">
        <f>MAX(0,Y75+($X$126-X76-CUSUM!F76))</f>
        <v>0</v>
      </c>
      <c r="Z76" s="14">
        <v>87</v>
      </c>
      <c r="AA76" s="2">
        <f>MAX(0,AA75+($Z$126-Z76-CUSUM!F76))</f>
        <v>0</v>
      </c>
      <c r="AB76" s="14">
        <v>81</v>
      </c>
      <c r="AC76" s="2">
        <f>MAX(0,AC75+($AB$126-AB76-CUSUM!F76))</f>
        <v>6.9756097560975405</v>
      </c>
      <c r="AD76" s="14">
        <v>89</v>
      </c>
      <c r="AE76" s="2">
        <f>MAX(0,AE75+($AD$126-AD76-CUSUM!F76))</f>
        <v>0</v>
      </c>
      <c r="AF76" s="14">
        <v>87</v>
      </c>
      <c r="AG76" s="2">
        <f>MAX(0,AG75+($AF$126-AF76-CUSUM!F76))</f>
        <v>54.48780487804882</v>
      </c>
      <c r="AH76" s="14">
        <v>81</v>
      </c>
      <c r="AI76" s="2">
        <f>MAX(0,AI75+($AH$126-AH76-CUSUM!F76))</f>
        <v>7.6016260162601839</v>
      </c>
      <c r="AJ76" s="14">
        <v>90</v>
      </c>
      <c r="AK76" s="2">
        <f>MAX(0,AK75+($AJ$126-AJ76-CUSUM!F76))</f>
        <v>0</v>
      </c>
      <c r="AL76" s="14">
        <v>92</v>
      </c>
      <c r="AM76" s="2">
        <f>MAX(0,AM75+($AL$126-AL76-CUSUM!F76))</f>
        <v>0</v>
      </c>
      <c r="AN76" s="14">
        <v>78</v>
      </c>
      <c r="AO76" s="2">
        <f>MAX(0,AO75+($AN$126-AN76-CUSUM!F76))</f>
        <v>5.3008130081300777</v>
      </c>
    </row>
    <row r="77" spans="1:41" x14ac:dyDescent="0.2">
      <c r="A77" s="8">
        <v>43721</v>
      </c>
      <c r="B77" s="14">
        <v>78</v>
      </c>
      <c r="C77" s="2">
        <f>MAX(0,C76+($B$126-B77-CUSUM!F77))</f>
        <v>5.7154471544715477</v>
      </c>
      <c r="D77" s="14">
        <v>87</v>
      </c>
      <c r="E77" s="2">
        <f>MAX(0,E76+($D$126-D77-CUSUM!F77))</f>
        <v>0</v>
      </c>
      <c r="F77" s="14">
        <v>89</v>
      </c>
      <c r="G77" s="2">
        <f>MAX(0,G76+($F$126-F77-CUSUM!F77))</f>
        <v>10.300813008130106</v>
      </c>
      <c r="H77" s="14">
        <v>86</v>
      </c>
      <c r="I77" s="2">
        <f>MAX(0,I76+($H$126-H77-CUSUM!F77))</f>
        <v>0</v>
      </c>
      <c r="J77" s="14">
        <v>87</v>
      </c>
      <c r="K77" s="2">
        <f>MAX(0,K76+($J$126-J77-CUSUM!F77))</f>
        <v>56.422764227642261</v>
      </c>
      <c r="L77" s="14">
        <v>84</v>
      </c>
      <c r="M77" s="2">
        <f>MAX(0,M76+($L$126-L77-CUSUM!F77))</f>
        <v>0</v>
      </c>
      <c r="N77" s="14">
        <v>75</v>
      </c>
      <c r="O77" s="2">
        <f>MAX(0,O76+($N$126-N77-CUSUM!F77))</f>
        <v>8.58536585365853</v>
      </c>
      <c r="P77" s="14">
        <v>84</v>
      </c>
      <c r="Q77" s="2">
        <f>MAX(0,Q76+($P$126-P77-CUSUM!F77))</f>
        <v>16.837398373983774</v>
      </c>
      <c r="R77" s="14">
        <v>79</v>
      </c>
      <c r="S77" s="2">
        <f>MAX(0,S76+($R$126-R77-CUSUM!F77))</f>
        <v>5.5853658536585442</v>
      </c>
      <c r="T77" s="14">
        <v>88</v>
      </c>
      <c r="U77" s="2">
        <f>MAX(0,U76+($T$126-T77-CUSUM!F77))</f>
        <v>0</v>
      </c>
      <c r="V77" s="14">
        <v>70</v>
      </c>
      <c r="W77" s="2">
        <f>MAX(0,W76+($V$126-V77-CUSUM!F77))</f>
        <v>14.341463414634134</v>
      </c>
      <c r="X77" s="14">
        <v>85</v>
      </c>
      <c r="Y77" s="2">
        <f>MAX(0,Y76+($X$126-X77-CUSUM!F77))</f>
        <v>0.39837398373983035</v>
      </c>
      <c r="Z77" s="14">
        <v>86</v>
      </c>
      <c r="AA77" s="2">
        <f>MAX(0,AA76+($Z$126-Z77-CUSUM!F77))</f>
        <v>0</v>
      </c>
      <c r="AB77" s="14">
        <v>80</v>
      </c>
      <c r="AC77" s="2">
        <f>MAX(0,AC76+($AB$126-AB77-CUSUM!F77))</f>
        <v>7.9674796747967207</v>
      </c>
      <c r="AD77" s="14">
        <v>86</v>
      </c>
      <c r="AE77" s="2">
        <f>MAX(0,AE76+($AD$126-AD77-CUSUM!F77))</f>
        <v>1.2113821138211449</v>
      </c>
      <c r="AF77" s="14">
        <v>89</v>
      </c>
      <c r="AG77" s="2">
        <f>MAX(0,AG76+($AF$126-AF77-CUSUM!F77))</f>
        <v>50.764227642276467</v>
      </c>
      <c r="AH77" s="14">
        <v>81</v>
      </c>
      <c r="AI77" s="2">
        <f>MAX(0,AI76+($AH$126-AH77-CUSUM!F77))</f>
        <v>11.25203252032523</v>
      </c>
      <c r="AJ77" s="14">
        <v>87</v>
      </c>
      <c r="AK77" s="2">
        <f>MAX(0,AK76+($AJ$126-AJ77-CUSUM!F77))</f>
        <v>0</v>
      </c>
      <c r="AL77" s="14">
        <v>86</v>
      </c>
      <c r="AM77" s="2">
        <f>MAX(0,AM76+($AL$126-AL77-CUSUM!F77))</f>
        <v>0</v>
      </c>
      <c r="AN77" s="14">
        <v>75</v>
      </c>
      <c r="AO77" s="2">
        <f>MAX(0,AO76+($AN$126-AN77-CUSUM!F77))</f>
        <v>13.601626016260155</v>
      </c>
    </row>
    <row r="78" spans="1:41" x14ac:dyDescent="0.2">
      <c r="A78" s="8">
        <v>43722</v>
      </c>
      <c r="B78" s="14">
        <v>79</v>
      </c>
      <c r="C78" s="2">
        <f>MAX(0,C77+($B$126-B78-CUSUM!F78))</f>
        <v>10.430894308943095</v>
      </c>
      <c r="D78" s="14">
        <v>87</v>
      </c>
      <c r="E78" s="2">
        <f>MAX(0,E77+($D$126-D78-CUSUM!F78))</f>
        <v>0</v>
      </c>
      <c r="F78" s="14">
        <v>87</v>
      </c>
      <c r="G78" s="2">
        <f>MAX(0,G77+($F$126-F78-CUSUM!F78))</f>
        <v>7.5609756097561274</v>
      </c>
      <c r="H78" s="14">
        <v>87</v>
      </c>
      <c r="I78" s="2">
        <f>MAX(0,I77+($H$126-H78-CUSUM!F78))</f>
        <v>0</v>
      </c>
      <c r="J78" s="14">
        <v>86</v>
      </c>
      <c r="K78" s="2">
        <f>MAX(0,K77+($J$126-J78-CUSUM!F78))</f>
        <v>54.455284552845512</v>
      </c>
      <c r="L78" s="14">
        <v>86</v>
      </c>
      <c r="M78" s="2">
        <f>MAX(0,M77+($L$126-L78-CUSUM!F78))</f>
        <v>0</v>
      </c>
      <c r="N78" s="14">
        <v>78</v>
      </c>
      <c r="O78" s="2">
        <f>MAX(0,O77+($N$126-N78-CUSUM!F78))</f>
        <v>14.17073170731706</v>
      </c>
      <c r="P78" s="14">
        <v>82</v>
      </c>
      <c r="Q78" s="2">
        <f>MAX(0,Q77+($P$126-P78-CUSUM!F78))</f>
        <v>16.317073170731746</v>
      </c>
      <c r="R78" s="14">
        <v>79</v>
      </c>
      <c r="S78" s="2">
        <f>MAX(0,S77+($R$126-R78-CUSUM!F78))</f>
        <v>8.3495934959349682</v>
      </c>
      <c r="T78" s="14">
        <v>88</v>
      </c>
      <c r="U78" s="2">
        <f>MAX(0,U77+($T$126-T78-CUSUM!F78))</f>
        <v>0</v>
      </c>
      <c r="V78" s="14">
        <v>80</v>
      </c>
      <c r="W78" s="2">
        <f>MAX(0,W77+($V$126-V78-CUSUM!F78))</f>
        <v>17.390243902439011</v>
      </c>
      <c r="X78" s="14">
        <v>81</v>
      </c>
      <c r="Y78" s="2">
        <f>MAX(0,Y77+($X$126-X78-CUSUM!F78))</f>
        <v>4.7967479674796607</v>
      </c>
      <c r="Z78" s="14">
        <v>88</v>
      </c>
      <c r="AA78" s="2">
        <f>MAX(0,AA77+($Z$126-Z78-CUSUM!F78))</f>
        <v>0</v>
      </c>
      <c r="AB78" s="14">
        <v>82</v>
      </c>
      <c r="AC78" s="2">
        <f>MAX(0,AC77+($AB$126-AB78-CUSUM!F78))</f>
        <v>6.9593495934959009</v>
      </c>
      <c r="AD78" s="14">
        <v>91</v>
      </c>
      <c r="AE78" s="2">
        <f>MAX(0,AE77+($AD$126-AD78-CUSUM!F78))</f>
        <v>0</v>
      </c>
      <c r="AF78" s="14">
        <v>92</v>
      </c>
      <c r="AG78" s="2">
        <f>MAX(0,AG77+($AF$126-AF78-CUSUM!F78))</f>
        <v>44.040650406504113</v>
      </c>
      <c r="AH78" s="14">
        <v>83</v>
      </c>
      <c r="AI78" s="2">
        <f>MAX(0,AI77+($AH$126-AH78-CUSUM!F78))</f>
        <v>12.902439024390276</v>
      </c>
      <c r="AJ78" s="14">
        <v>82</v>
      </c>
      <c r="AK78" s="2">
        <f>MAX(0,AK77+($AJ$126-AJ78-CUSUM!F78))</f>
        <v>0</v>
      </c>
      <c r="AL78" s="14">
        <v>78</v>
      </c>
      <c r="AM78" s="2">
        <f>MAX(0,AM77+($AL$126-AL78-CUSUM!F78))</f>
        <v>5.9430894308943039</v>
      </c>
      <c r="AN78" s="14">
        <v>77</v>
      </c>
      <c r="AO78" s="2">
        <f>MAX(0,AO77+($AN$126-AN78-CUSUM!F78))</f>
        <v>19.902439024390233</v>
      </c>
    </row>
    <row r="79" spans="1:41" x14ac:dyDescent="0.2">
      <c r="A79" s="8">
        <v>43723</v>
      </c>
      <c r="B79" s="14">
        <v>86</v>
      </c>
      <c r="C79" s="2">
        <f>MAX(0,C78+($B$126-B79-CUSUM!F79))</f>
        <v>8.1463414634146432</v>
      </c>
      <c r="D79" s="14">
        <v>88</v>
      </c>
      <c r="E79" s="2">
        <f>MAX(0,E78+($D$126-D79-CUSUM!F79))</f>
        <v>0</v>
      </c>
      <c r="F79" s="14">
        <v>87</v>
      </c>
      <c r="G79" s="2">
        <f>MAX(0,G78+($F$126-F79-CUSUM!F79))</f>
        <v>4.8211382113821486</v>
      </c>
      <c r="H79" s="14">
        <v>89</v>
      </c>
      <c r="I79" s="2">
        <f>MAX(0,I78+($H$126-H79-CUSUM!F79))</f>
        <v>0</v>
      </c>
      <c r="J79" s="14">
        <v>80</v>
      </c>
      <c r="K79" s="2">
        <f>MAX(0,K78+($J$126-J79-CUSUM!F79))</f>
        <v>58.487804878048763</v>
      </c>
      <c r="L79" s="14">
        <v>77</v>
      </c>
      <c r="M79" s="2">
        <f>MAX(0,M78+($L$126-L79-CUSUM!F79))</f>
        <v>4.5528455284552791</v>
      </c>
      <c r="N79" s="14">
        <v>91</v>
      </c>
      <c r="O79" s="2">
        <f>MAX(0,O78+($N$126-N79-CUSUM!F79))</f>
        <v>6.75609756097559</v>
      </c>
      <c r="P79" s="14">
        <v>82</v>
      </c>
      <c r="Q79" s="2">
        <f>MAX(0,Q78+($P$126-P79-CUSUM!F79))</f>
        <v>15.796747967479718</v>
      </c>
      <c r="R79" s="14">
        <v>73</v>
      </c>
      <c r="S79" s="2">
        <f>MAX(0,S78+($R$126-R79-CUSUM!F79))</f>
        <v>17.113821138211392</v>
      </c>
      <c r="T79" s="14">
        <v>91</v>
      </c>
      <c r="U79" s="2">
        <f>MAX(0,U78+($T$126-T79-CUSUM!F79))</f>
        <v>0</v>
      </c>
      <c r="V79" s="14">
        <v>82</v>
      </c>
      <c r="W79" s="2">
        <f>MAX(0,W78+($V$126-V79-CUSUM!F79))</f>
        <v>18.439024390243887</v>
      </c>
      <c r="X79" s="14">
        <v>82</v>
      </c>
      <c r="Y79" s="2">
        <f>MAX(0,Y78+($X$126-X79-CUSUM!F79))</f>
        <v>8.1951219512194911</v>
      </c>
      <c r="Z79" s="14">
        <v>79</v>
      </c>
      <c r="AA79" s="2">
        <f>MAX(0,AA78+($Z$126-Z79-CUSUM!F79))</f>
        <v>3.5121951219512226</v>
      </c>
      <c r="AB79" s="14">
        <v>79</v>
      </c>
      <c r="AC79" s="2">
        <f>MAX(0,AC78+($AB$126-AB79-CUSUM!F79))</f>
        <v>8.9512195121950811</v>
      </c>
      <c r="AD79" s="14">
        <v>91</v>
      </c>
      <c r="AE79" s="2">
        <f>MAX(0,AE78+($AD$126-AD79-CUSUM!F79))</f>
        <v>0</v>
      </c>
      <c r="AF79" s="14">
        <v>86</v>
      </c>
      <c r="AG79" s="2">
        <f>MAX(0,AG78+($AF$126-AF79-CUSUM!F79))</f>
        <v>43.31707317073176</v>
      </c>
      <c r="AH79" s="14">
        <v>87</v>
      </c>
      <c r="AI79" s="2">
        <f>MAX(0,AI78+($AH$126-AH79-CUSUM!F79))</f>
        <v>10.552845528455322</v>
      </c>
      <c r="AJ79" s="14">
        <v>84</v>
      </c>
      <c r="AK79" s="2">
        <f>MAX(0,AK78+($AJ$126-AJ79-CUSUM!F79))</f>
        <v>0</v>
      </c>
      <c r="AL79" s="14">
        <v>80</v>
      </c>
      <c r="AM79" s="2">
        <f>MAX(0,AM78+($AL$126-AL79-CUSUM!F79))</f>
        <v>9.8861788617886077</v>
      </c>
      <c r="AN79" s="14">
        <v>80</v>
      </c>
      <c r="AO79" s="9">
        <f>MAX(0,AO78+($AN$126-AN79-CUSUM!F79))</f>
        <v>23.203252032520311</v>
      </c>
    </row>
    <row r="80" spans="1:41" x14ac:dyDescent="0.2">
      <c r="A80" s="8">
        <v>43724</v>
      </c>
      <c r="B80" s="14">
        <v>82</v>
      </c>
      <c r="C80" s="2">
        <f>MAX(0,C79+($B$126-B80-CUSUM!F80))</f>
        <v>9.8617886178861909</v>
      </c>
      <c r="D80" s="14">
        <v>88</v>
      </c>
      <c r="E80" s="2">
        <f>MAX(0,E79+($D$126-D80-CUSUM!F80))</f>
        <v>0</v>
      </c>
      <c r="F80" s="14">
        <v>88</v>
      </c>
      <c r="G80" s="2">
        <f>MAX(0,G79+($F$126-F80-CUSUM!F80))</f>
        <v>1.0813008130081698</v>
      </c>
      <c r="H80" s="14">
        <v>81</v>
      </c>
      <c r="I80" s="2">
        <f>MAX(0,I79+($H$126-H80-CUSUM!F80))</f>
        <v>2.3577235772357739</v>
      </c>
      <c r="J80" s="14">
        <v>75</v>
      </c>
      <c r="K80" s="2">
        <f>MAX(0,K79+($J$126-J80-CUSUM!F80))</f>
        <v>67.520325203252014</v>
      </c>
      <c r="L80" s="14">
        <v>77</v>
      </c>
      <c r="M80" s="2">
        <f>MAX(0,M79+($L$126-L80-CUSUM!F80))</f>
        <v>9.1056910569105582</v>
      </c>
      <c r="N80" s="14">
        <v>88</v>
      </c>
      <c r="O80" s="2">
        <f>MAX(0,O79+($N$126-N80-CUSUM!F80))</f>
        <v>2.34146341463412</v>
      </c>
      <c r="P80" s="14">
        <v>81</v>
      </c>
      <c r="Q80" s="2">
        <f>MAX(0,Q79+($P$126-P80-CUSUM!F80))</f>
        <v>16.276422764227689</v>
      </c>
      <c r="R80" s="14">
        <v>75</v>
      </c>
      <c r="S80" s="9">
        <f>MAX(0,S79+($R$126-R80-CUSUM!F80))</f>
        <v>23.878048780487816</v>
      </c>
      <c r="T80" s="14">
        <v>88</v>
      </c>
      <c r="U80" s="2">
        <f>MAX(0,U79+($T$126-T80-CUSUM!F80))</f>
        <v>0</v>
      </c>
      <c r="V80" s="14">
        <v>83</v>
      </c>
      <c r="W80" s="2">
        <f>MAX(0,W79+($V$126-V80-CUSUM!F80))</f>
        <v>18.487804878048763</v>
      </c>
      <c r="X80" s="14">
        <v>76</v>
      </c>
      <c r="Y80" s="2">
        <f>MAX(0,Y79+($X$126-X80-CUSUM!F80))</f>
        <v>17.593495934959321</v>
      </c>
      <c r="Z80" s="14">
        <v>80</v>
      </c>
      <c r="AA80" s="2">
        <f>MAX(0,AA79+($Z$126-Z80-CUSUM!F80))</f>
        <v>6.0243902439024453</v>
      </c>
      <c r="AB80" s="14">
        <v>82</v>
      </c>
      <c r="AC80" s="2">
        <f>MAX(0,AC79+($AB$126-AB80-CUSUM!F80))</f>
        <v>7.9430894308942612</v>
      </c>
      <c r="AD80" s="14">
        <v>89</v>
      </c>
      <c r="AE80" s="2">
        <f>MAX(0,AE79+($AD$126-AD80-CUSUM!F80))</f>
        <v>0</v>
      </c>
      <c r="AF80" s="14">
        <v>72</v>
      </c>
      <c r="AG80" s="2">
        <f>MAX(0,AG79+($AF$126-AF80-CUSUM!F80))</f>
        <v>56.593495934959407</v>
      </c>
      <c r="AH80" s="14">
        <v>86</v>
      </c>
      <c r="AI80" s="2">
        <f>MAX(0,AI79+($AH$126-AH80-CUSUM!F80))</f>
        <v>9.2032520325203677</v>
      </c>
      <c r="AJ80" s="14">
        <v>89</v>
      </c>
      <c r="AK80" s="2">
        <f>MAX(0,AK79+($AJ$126-AJ80-CUSUM!F80))</f>
        <v>0</v>
      </c>
      <c r="AL80" s="14">
        <v>86</v>
      </c>
      <c r="AM80" s="2">
        <f>MAX(0,AM79+($AL$126-AL80-CUSUM!F80))</f>
        <v>7.8292682926829116</v>
      </c>
      <c r="AN80" s="14">
        <v>79</v>
      </c>
      <c r="AO80" s="2">
        <f>MAX(0,AO79+($AN$126-AN80-CUSUM!F80))</f>
        <v>27.504065040650389</v>
      </c>
    </row>
    <row r="81" spans="1:41" x14ac:dyDescent="0.2">
      <c r="A81" s="8">
        <v>43725</v>
      </c>
      <c r="B81" s="14">
        <v>82</v>
      </c>
      <c r="C81" s="2">
        <f>MAX(0,C80+($B$126-B81-CUSUM!F81))</f>
        <v>11.577235772357739</v>
      </c>
      <c r="D81" s="14">
        <v>90</v>
      </c>
      <c r="E81" s="2">
        <f>MAX(0,E80+($D$126-D81-CUSUM!F81))</f>
        <v>0</v>
      </c>
      <c r="F81" s="14">
        <v>87</v>
      </c>
      <c r="G81" s="2">
        <f>MAX(0,G80+($F$126-F81-CUSUM!F81))</f>
        <v>0</v>
      </c>
      <c r="H81" s="14">
        <v>81</v>
      </c>
      <c r="I81" s="2">
        <f>MAX(0,I80+($H$126-H81-CUSUM!F81))</f>
        <v>4.7154471544715477</v>
      </c>
      <c r="J81" s="14">
        <v>73</v>
      </c>
      <c r="K81" s="2">
        <f>MAX(0,K80+($J$126-J81-CUSUM!F81))</f>
        <v>78.552845528455265</v>
      </c>
      <c r="L81" s="14">
        <v>81</v>
      </c>
      <c r="M81" s="2">
        <f>MAX(0,M80+($L$126-L81-CUSUM!F81))</f>
        <v>9.6585365853658374</v>
      </c>
      <c r="N81" s="14">
        <v>86</v>
      </c>
      <c r="O81" s="2">
        <f>MAX(0,O80+($N$126-N81-CUSUM!F81))</f>
        <v>0</v>
      </c>
      <c r="P81" s="14">
        <v>81</v>
      </c>
      <c r="Q81" s="2">
        <f>MAX(0,Q80+($P$126-P81-CUSUM!F81))</f>
        <v>16.756097560975661</v>
      </c>
      <c r="R81" s="14">
        <v>80</v>
      </c>
      <c r="S81" s="2">
        <f>MAX(0,S80+($R$126-R81-CUSUM!F81))</f>
        <v>25.64227642276424</v>
      </c>
      <c r="T81" s="14">
        <v>86</v>
      </c>
      <c r="U81" s="2">
        <f>MAX(0,U80+($T$126-T81-CUSUM!F81))</f>
        <v>0</v>
      </c>
      <c r="V81" s="14">
        <v>85</v>
      </c>
      <c r="W81" s="2">
        <f>MAX(0,W80+($V$126-V81-CUSUM!F81))</f>
        <v>16.536585365853639</v>
      </c>
      <c r="X81" s="14">
        <v>78</v>
      </c>
      <c r="Y81" s="9">
        <f>MAX(0,Y80+($X$126-X81-CUSUM!F81))</f>
        <v>24.991869918699152</v>
      </c>
      <c r="Z81" s="14">
        <v>69</v>
      </c>
      <c r="AA81" s="2">
        <f>MAX(0,AA80+($Z$126-Z81-CUSUM!F81))</f>
        <v>19.536585365853668</v>
      </c>
      <c r="AB81" s="14">
        <v>73</v>
      </c>
      <c r="AC81" s="2">
        <f>MAX(0,AC80+($AB$126-AB81-CUSUM!F81))</f>
        <v>15.934959349593441</v>
      </c>
      <c r="AD81" s="14">
        <v>95</v>
      </c>
      <c r="AE81" s="2">
        <f>MAX(0,AE80+($AD$126-AD81-CUSUM!F81))</f>
        <v>0</v>
      </c>
      <c r="AF81" s="14">
        <v>79</v>
      </c>
      <c r="AG81" s="2">
        <f>MAX(0,AG80+($AF$126-AF81-CUSUM!F81))</f>
        <v>62.869918699187053</v>
      </c>
      <c r="AH81" s="14">
        <v>83</v>
      </c>
      <c r="AI81" s="2">
        <f>MAX(0,AI80+($AH$126-AH81-CUSUM!F81))</f>
        <v>10.853658536585414</v>
      </c>
      <c r="AJ81" s="14">
        <v>79</v>
      </c>
      <c r="AK81" s="2">
        <f>MAX(0,AK80+($AJ$126-AJ81-CUSUM!F81))</f>
        <v>2.6666666666666714</v>
      </c>
      <c r="AL81" s="14">
        <v>86</v>
      </c>
      <c r="AM81" s="2">
        <f>MAX(0,AM80+($AL$126-AL81-CUSUM!F81))</f>
        <v>5.7723577235772154</v>
      </c>
      <c r="AN81" s="14">
        <v>83</v>
      </c>
      <c r="AO81" s="2">
        <f>MAX(0,AO80+($AN$126-AN81-CUSUM!F81))</f>
        <v>27.804878048780466</v>
      </c>
    </row>
    <row r="82" spans="1:41" x14ac:dyDescent="0.2">
      <c r="A82" s="8">
        <v>43726</v>
      </c>
      <c r="B82" s="14">
        <v>78</v>
      </c>
      <c r="C82" s="2">
        <f>MAX(0,C81+($B$126-B82-CUSUM!F82))</f>
        <v>17.292682926829286</v>
      </c>
      <c r="D82" s="14">
        <v>88</v>
      </c>
      <c r="E82" s="2">
        <f>MAX(0,E81+($D$126-D82-CUSUM!F82))</f>
        <v>0</v>
      </c>
      <c r="F82" s="14">
        <v>82</v>
      </c>
      <c r="G82" s="2">
        <f>MAX(0,G81+($F$126-F82-CUSUM!F82))</f>
        <v>2.2601626016260212</v>
      </c>
      <c r="H82" s="14">
        <v>82</v>
      </c>
      <c r="I82" s="2">
        <f>MAX(0,I81+($H$126-H82-CUSUM!F82))</f>
        <v>6.0731707317073216</v>
      </c>
      <c r="J82" s="14">
        <v>73</v>
      </c>
      <c r="K82" s="2">
        <f>MAX(0,K81+($J$126-J82-CUSUM!F82))</f>
        <v>89.585365853658516</v>
      </c>
      <c r="L82" s="14">
        <v>81</v>
      </c>
      <c r="M82" s="2">
        <f>MAX(0,M81+($L$126-L82-CUSUM!F82))</f>
        <v>10.211382113821116</v>
      </c>
      <c r="N82" s="14">
        <v>81</v>
      </c>
      <c r="O82" s="2">
        <f>MAX(0,O81+($N$126-N82-CUSUM!F82))</f>
        <v>2.58536585365853</v>
      </c>
      <c r="P82" s="14">
        <v>81</v>
      </c>
      <c r="Q82" s="2">
        <f>MAX(0,Q81+($P$126-P82-CUSUM!F82))</f>
        <v>17.235772357723633</v>
      </c>
      <c r="R82" s="14">
        <v>79</v>
      </c>
      <c r="S82" s="2">
        <f>MAX(0,S81+($R$126-R82-CUSUM!F82))</f>
        <v>28.406504065040664</v>
      </c>
      <c r="T82" s="14">
        <v>88</v>
      </c>
      <c r="U82" s="2">
        <f>MAX(0,U81+($T$126-T82-CUSUM!F82))</f>
        <v>0</v>
      </c>
      <c r="V82" s="14">
        <v>85</v>
      </c>
      <c r="W82" s="2">
        <f>MAX(0,W81+($V$126-V82-CUSUM!F82))</f>
        <v>14.585365853658516</v>
      </c>
      <c r="X82" s="14">
        <v>79</v>
      </c>
      <c r="Y82" s="2">
        <f>MAX(0,Y81+($X$126-X82-CUSUM!F82))</f>
        <v>31.390243902438982</v>
      </c>
      <c r="Z82" s="14">
        <v>82</v>
      </c>
      <c r="AA82" s="2">
        <f>MAX(0,AA81+($Z$126-Z82-CUSUM!F82))</f>
        <v>20.048780487804891</v>
      </c>
      <c r="AB82" s="14">
        <v>80</v>
      </c>
      <c r="AC82" s="2">
        <f>MAX(0,AC81+($AB$126-AB82-CUSUM!F82))</f>
        <v>16.926829268292622</v>
      </c>
      <c r="AD82" s="14">
        <v>93</v>
      </c>
      <c r="AE82" s="2">
        <f>MAX(0,AE81+($AD$126-AD82-CUSUM!F82))</f>
        <v>0</v>
      </c>
      <c r="AF82" s="14">
        <v>77</v>
      </c>
      <c r="AG82" s="2">
        <f>MAX(0,AG81+($AF$126-AF82-CUSUM!F82))</f>
        <v>71.1463414634147</v>
      </c>
      <c r="AH82" s="14">
        <v>79</v>
      </c>
      <c r="AI82" s="2">
        <f>MAX(0,AI81+($AH$126-AH82-CUSUM!F82))</f>
        <v>16.50406504065046</v>
      </c>
      <c r="AJ82" s="14">
        <v>78</v>
      </c>
      <c r="AK82" s="2">
        <f>MAX(0,AK81+($AJ$126-AJ82-CUSUM!F82))</f>
        <v>6.3333333333333428</v>
      </c>
      <c r="AL82" s="14">
        <v>85</v>
      </c>
      <c r="AM82" s="2">
        <f>MAX(0,AM81+($AL$126-AL82-CUSUM!F82))</f>
        <v>4.7154471544715193</v>
      </c>
      <c r="AN82" s="14">
        <v>83</v>
      </c>
      <c r="AO82" s="2">
        <f>MAX(0,AO81+($AN$126-AN82-CUSUM!F82))</f>
        <v>28.105691056910544</v>
      </c>
    </row>
    <row r="83" spans="1:41" x14ac:dyDescent="0.2">
      <c r="A83" s="8">
        <v>43727</v>
      </c>
      <c r="B83" s="14">
        <v>79</v>
      </c>
      <c r="C83" s="9">
        <f>MAX(0,C82+($B$126-B83-CUSUM!F83))</f>
        <v>22.008130081300834</v>
      </c>
      <c r="D83" s="14">
        <v>91</v>
      </c>
      <c r="E83" s="2">
        <f>MAX(0,E82+($D$126-D83-CUSUM!F83))</f>
        <v>0</v>
      </c>
      <c r="F83" s="14">
        <v>80</v>
      </c>
      <c r="G83" s="2">
        <f>MAX(0,G82+($F$126-F83-CUSUM!F83))</f>
        <v>6.5203252032520425</v>
      </c>
      <c r="H83" s="14">
        <v>79</v>
      </c>
      <c r="I83" s="2">
        <f>MAX(0,I82+($H$126-H83-CUSUM!F83))</f>
        <v>10.430894308943095</v>
      </c>
      <c r="J83" s="14">
        <v>84</v>
      </c>
      <c r="K83" s="2">
        <f>MAX(0,K82+($J$126-J83-CUSUM!F83))</f>
        <v>89.617886178861767</v>
      </c>
      <c r="L83" s="14">
        <v>82</v>
      </c>
      <c r="M83" s="2">
        <f>MAX(0,M82+($L$126-L83-CUSUM!F83))</f>
        <v>9.7642276422763956</v>
      </c>
      <c r="N83" s="14">
        <v>80</v>
      </c>
      <c r="O83" s="2">
        <f>MAX(0,O82+($N$126-N83-CUSUM!F83))</f>
        <v>6.17073170731706</v>
      </c>
      <c r="P83" s="14">
        <v>84</v>
      </c>
      <c r="Q83" s="2">
        <f>MAX(0,Q82+($P$126-P83-CUSUM!F83))</f>
        <v>14.715447154471605</v>
      </c>
      <c r="R83" s="14">
        <v>78</v>
      </c>
      <c r="S83" s="2">
        <f>MAX(0,S82+($R$126-R83-CUSUM!F83))</f>
        <v>32.170731707317088</v>
      </c>
      <c r="T83" s="14">
        <v>90</v>
      </c>
      <c r="U83" s="2">
        <f>MAX(0,U82+($T$126-T83-CUSUM!F83))</f>
        <v>0</v>
      </c>
      <c r="V83" s="14">
        <v>79</v>
      </c>
      <c r="W83" s="2">
        <f>MAX(0,W82+($V$126-V83-CUSUM!F83))</f>
        <v>18.634146341463392</v>
      </c>
      <c r="X83" s="14">
        <v>82</v>
      </c>
      <c r="Y83" s="2">
        <f>MAX(0,Y82+($X$126-X83-CUSUM!F83))</f>
        <v>34.788617886178812</v>
      </c>
      <c r="Z83" s="14">
        <v>81</v>
      </c>
      <c r="AA83" s="9">
        <f>MAX(0,AA82+($Z$126-Z83-CUSUM!F83))</f>
        <v>21.560975609756113</v>
      </c>
      <c r="AB83" s="14">
        <v>74</v>
      </c>
      <c r="AC83" s="9">
        <f>MAX(0,AC82+($AB$126-AB83-CUSUM!F83))</f>
        <v>23.918699186991802</v>
      </c>
      <c r="AD83" s="14">
        <v>92</v>
      </c>
      <c r="AE83" s="2">
        <f>MAX(0,AE82+($AD$126-AD83-CUSUM!F83))</f>
        <v>0</v>
      </c>
      <c r="AF83" s="14">
        <v>77</v>
      </c>
      <c r="AG83" s="2">
        <f>MAX(0,AG82+($AF$126-AF83-CUSUM!F83))</f>
        <v>79.422764227642347</v>
      </c>
      <c r="AH83" s="14">
        <v>81</v>
      </c>
      <c r="AI83" s="2">
        <f>MAX(0,AI82+($AH$126-AH83-CUSUM!F83))</f>
        <v>20.154471544715506</v>
      </c>
      <c r="AJ83" s="14">
        <v>84</v>
      </c>
      <c r="AK83" s="2">
        <f>MAX(0,AK82+($AJ$126-AJ83-CUSUM!F83))</f>
        <v>4.0000000000000142</v>
      </c>
      <c r="AL83" s="14">
        <v>84</v>
      </c>
      <c r="AM83" s="2">
        <f>MAX(0,AM82+($AL$126-AL83-CUSUM!F83))</f>
        <v>4.6585365853658232</v>
      </c>
      <c r="AN83" s="14">
        <v>87</v>
      </c>
      <c r="AO83" s="2">
        <f>MAX(0,AO82+($AN$126-AN83-CUSUM!F83))</f>
        <v>24.406504065040622</v>
      </c>
    </row>
    <row r="84" spans="1:41" x14ac:dyDescent="0.2">
      <c r="A84" s="8">
        <v>43728</v>
      </c>
      <c r="B84" s="14">
        <v>79</v>
      </c>
      <c r="C84" s="2">
        <f>MAX(0,C83+($B$126-B84-CUSUM!F84))</f>
        <v>26.723577235772382</v>
      </c>
      <c r="D84" s="14">
        <v>95</v>
      </c>
      <c r="E84" s="2">
        <f>MAX(0,E83+($D$126-D84-CUSUM!F84))</f>
        <v>0</v>
      </c>
      <c r="F84" s="14">
        <v>82</v>
      </c>
      <c r="G84" s="2">
        <f>MAX(0,G83+($F$126-F84-CUSUM!F84))</f>
        <v>8.7804878048780637</v>
      </c>
      <c r="H84" s="14">
        <v>68</v>
      </c>
      <c r="I84" s="9">
        <f>MAX(0,I83+($H$126-H84-CUSUM!F84))</f>
        <v>25.788617886178869</v>
      </c>
      <c r="J84" s="14">
        <v>87</v>
      </c>
      <c r="K84" s="2">
        <f>MAX(0,K83+($J$126-J84-CUSUM!F84))</f>
        <v>86.650406504065018</v>
      </c>
      <c r="L84" s="14">
        <v>84</v>
      </c>
      <c r="M84" s="2">
        <f>MAX(0,M83+($L$126-L84-CUSUM!F84))</f>
        <v>7.3170731707316747</v>
      </c>
      <c r="N84" s="14">
        <v>86</v>
      </c>
      <c r="O84" s="2">
        <f>MAX(0,O83+($N$126-N84-CUSUM!F84))</f>
        <v>3.75609756097559</v>
      </c>
      <c r="P84" s="14">
        <v>87</v>
      </c>
      <c r="Q84" s="2">
        <f>MAX(0,Q83+($P$126-P84-CUSUM!F84))</f>
        <v>9.1951219512195763</v>
      </c>
      <c r="R84" s="14">
        <v>73</v>
      </c>
      <c r="S84" s="2">
        <f>MAX(0,S83+($R$126-R84-CUSUM!F84))</f>
        <v>40.934959349593512</v>
      </c>
      <c r="T84" s="14">
        <v>90</v>
      </c>
      <c r="U84" s="2">
        <f>MAX(0,U83+($T$126-T84-CUSUM!F84))</f>
        <v>0</v>
      </c>
      <c r="V84" s="14">
        <v>73</v>
      </c>
      <c r="W84" s="9">
        <f>MAX(0,W83+($V$126-V84-CUSUM!F84))</f>
        <v>28.682926829268268</v>
      </c>
      <c r="X84" s="14">
        <v>81</v>
      </c>
      <c r="Y84" s="2">
        <f>MAX(0,Y83+($X$126-X84-CUSUM!F84))</f>
        <v>39.186991869918643</v>
      </c>
      <c r="Z84" s="14">
        <v>79</v>
      </c>
      <c r="AA84" s="2">
        <f>MAX(0,AA83+($Z$126-Z84-CUSUM!F84))</f>
        <v>25.073170731707336</v>
      </c>
      <c r="AB84" s="14">
        <v>81</v>
      </c>
      <c r="AC84" s="2">
        <f>MAX(0,AC83+($AB$126-AB84-CUSUM!F84))</f>
        <v>23.910569105690982</v>
      </c>
      <c r="AD84" s="14">
        <v>96</v>
      </c>
      <c r="AE84" s="2">
        <f>MAX(0,AE83+($AD$126-AD84-CUSUM!F84))</f>
        <v>0</v>
      </c>
      <c r="AF84" s="14">
        <v>82</v>
      </c>
      <c r="AG84" s="2">
        <f>MAX(0,AG83+($AF$126-AF84-CUSUM!F84))</f>
        <v>82.699186991869993</v>
      </c>
      <c r="AH84" s="14">
        <v>79</v>
      </c>
      <c r="AI84" s="9">
        <f>MAX(0,AI83+($AH$126-AH84-CUSUM!F84))</f>
        <v>25.804878048780552</v>
      </c>
      <c r="AJ84" s="14">
        <v>86</v>
      </c>
      <c r="AK84" s="2">
        <f>MAX(0,AK83+($AJ$126-AJ84-CUSUM!F84))</f>
        <v>0</v>
      </c>
      <c r="AL84" s="14">
        <v>83</v>
      </c>
      <c r="AM84" s="2">
        <f>MAX(0,AM83+($AL$126-AL84-CUSUM!F84))</f>
        <v>5.601626016260127</v>
      </c>
      <c r="AN84" s="14">
        <v>89</v>
      </c>
      <c r="AO84" s="2">
        <f>MAX(0,AO83+($AN$126-AN84-CUSUM!F84))</f>
        <v>18.707317073170699</v>
      </c>
    </row>
    <row r="85" spans="1:41" x14ac:dyDescent="0.2">
      <c r="A85" s="8">
        <v>43729</v>
      </c>
      <c r="B85" s="14">
        <v>78</v>
      </c>
      <c r="C85" s="2">
        <f>MAX(0,C84+($B$126-B85-CUSUM!F85))</f>
        <v>32.439024390243929</v>
      </c>
      <c r="D85" s="14">
        <v>89</v>
      </c>
      <c r="E85" s="2">
        <f>MAX(0,E84+($D$126-D85-CUSUM!F85))</f>
        <v>0</v>
      </c>
      <c r="F85" s="14">
        <v>82</v>
      </c>
      <c r="G85" s="2">
        <f>MAX(0,G84+($F$126-F85-CUSUM!F85))</f>
        <v>11.040650406504085</v>
      </c>
      <c r="H85" s="14">
        <v>79</v>
      </c>
      <c r="I85" s="2">
        <f>MAX(0,I84+($H$126-H85-CUSUM!F85))</f>
        <v>30.146341463414643</v>
      </c>
      <c r="J85" s="14">
        <v>77</v>
      </c>
      <c r="K85" s="2">
        <f>MAX(0,K84+($J$126-J85-CUSUM!F85))</f>
        <v>93.682926829268268</v>
      </c>
      <c r="L85" s="14">
        <v>86</v>
      </c>
      <c r="M85" s="2">
        <f>MAX(0,M84+($L$126-L85-CUSUM!F85))</f>
        <v>2.8699186991869539</v>
      </c>
      <c r="N85" s="14">
        <v>84</v>
      </c>
      <c r="O85" s="2">
        <f>MAX(0,O84+($N$126-N85-CUSUM!F85))</f>
        <v>3.34146341463412</v>
      </c>
      <c r="P85" s="14">
        <v>82</v>
      </c>
      <c r="Q85" s="2">
        <f>MAX(0,Q84+($P$126-P85-CUSUM!F85))</f>
        <v>8.6747967479675481</v>
      </c>
      <c r="R85" s="14">
        <v>75</v>
      </c>
      <c r="S85" s="2">
        <f>MAX(0,S84+($R$126-R85-CUSUM!F85))</f>
        <v>47.699186991869936</v>
      </c>
      <c r="T85" s="14">
        <v>90</v>
      </c>
      <c r="U85" s="2">
        <f>MAX(0,U84+($T$126-T85-CUSUM!F85))</f>
        <v>0</v>
      </c>
      <c r="V85" s="14">
        <v>75</v>
      </c>
      <c r="W85" s="2">
        <f>MAX(0,W84+($V$126-V85-CUSUM!F85))</f>
        <v>36.731707317073145</v>
      </c>
      <c r="X85" s="14">
        <v>78</v>
      </c>
      <c r="Y85" s="2">
        <f>MAX(0,Y84+($X$126-X85-CUSUM!F85))</f>
        <v>46.585365853658473</v>
      </c>
      <c r="Z85" s="14">
        <v>75</v>
      </c>
      <c r="AA85" s="2">
        <f>MAX(0,AA84+($Z$126-Z85-CUSUM!F85))</f>
        <v>32.585365853658558</v>
      </c>
      <c r="AB85" s="14">
        <v>79</v>
      </c>
      <c r="AC85" s="2">
        <f>MAX(0,AC84+($AB$126-AB85-CUSUM!F85))</f>
        <v>25.902439024390162</v>
      </c>
      <c r="AD85" s="14">
        <v>95</v>
      </c>
      <c r="AE85" s="2">
        <f>MAX(0,AE84+($AD$126-AD85-CUSUM!F85))</f>
        <v>0</v>
      </c>
      <c r="AF85" s="14">
        <v>86</v>
      </c>
      <c r="AG85" s="2">
        <f>MAX(0,AG84+($AF$126-AF85-CUSUM!F85))</f>
        <v>81.97560975609764</v>
      </c>
      <c r="AH85" s="14">
        <v>85</v>
      </c>
      <c r="AI85" s="2">
        <f>MAX(0,AI84+($AH$126-AH85-CUSUM!F85))</f>
        <v>25.455284552845598</v>
      </c>
      <c r="AJ85" s="14">
        <v>73</v>
      </c>
      <c r="AK85" s="2">
        <f>MAX(0,AK84+($AJ$126-AJ85-CUSUM!F85))</f>
        <v>8.6666666666666714</v>
      </c>
      <c r="AL85" s="14">
        <v>87</v>
      </c>
      <c r="AM85" s="2">
        <f>MAX(0,AM84+($AL$126-AL85-CUSUM!F85))</f>
        <v>2.5447154471544309</v>
      </c>
      <c r="AN85" s="14">
        <v>77</v>
      </c>
      <c r="AO85" s="2">
        <f>MAX(0,AO84+($AN$126-AN85-CUSUM!F85))</f>
        <v>25.008130081300777</v>
      </c>
    </row>
    <row r="86" spans="1:41" x14ac:dyDescent="0.2">
      <c r="A86" s="8">
        <v>43730</v>
      </c>
      <c r="B86" s="14">
        <v>81</v>
      </c>
      <c r="C86" s="2">
        <f>MAX(0,C85+($B$126-B86-CUSUM!F86))</f>
        <v>35.154471544715477</v>
      </c>
      <c r="D86" s="14">
        <v>70</v>
      </c>
      <c r="E86" s="2">
        <f>MAX(0,E85+($D$126-D86-CUSUM!F86))</f>
        <v>11.674796747967477</v>
      </c>
      <c r="F86" s="14">
        <v>88</v>
      </c>
      <c r="G86" s="2">
        <f>MAX(0,G85+($F$126-F86-CUSUM!F86))</f>
        <v>7.3008130081301061</v>
      </c>
      <c r="H86" s="14">
        <v>72</v>
      </c>
      <c r="I86" s="2">
        <f>MAX(0,I85+($H$126-H86-CUSUM!F86))</f>
        <v>41.504065040650417</v>
      </c>
      <c r="J86" s="14">
        <v>73</v>
      </c>
      <c r="K86" s="2">
        <f>MAX(0,K85+($J$126-J86-CUSUM!F86))</f>
        <v>104.71544715447152</v>
      </c>
      <c r="L86" s="14">
        <v>87</v>
      </c>
      <c r="M86" s="2">
        <f>MAX(0,M85+($L$126-L86-CUSUM!F86))</f>
        <v>0</v>
      </c>
      <c r="N86" s="14">
        <v>77</v>
      </c>
      <c r="O86" s="2">
        <f>MAX(0,O85+($N$126-N86-CUSUM!F86))</f>
        <v>9.92682926829265</v>
      </c>
      <c r="P86" s="14">
        <v>75</v>
      </c>
      <c r="Q86" s="2">
        <f>MAX(0,Q85+($P$126-P86-CUSUM!F86))</f>
        <v>15.15447154471552</v>
      </c>
      <c r="R86" s="14">
        <v>80</v>
      </c>
      <c r="S86" s="2">
        <f>MAX(0,S85+($R$126-R86-CUSUM!F86))</f>
        <v>49.463414634146361</v>
      </c>
      <c r="T86" s="14">
        <v>86</v>
      </c>
      <c r="U86" s="2">
        <f>MAX(0,U85+($T$126-T86-CUSUM!F86))</f>
        <v>0</v>
      </c>
      <c r="V86" s="14">
        <v>82</v>
      </c>
      <c r="W86" s="2">
        <f>MAX(0,W85+($V$126-V86-CUSUM!F86))</f>
        <v>37.780487804878021</v>
      </c>
      <c r="X86" s="14">
        <v>86</v>
      </c>
      <c r="Y86" s="2">
        <f>MAX(0,Y85+($X$126-X86-CUSUM!F86))</f>
        <v>45.983739837398304</v>
      </c>
      <c r="Z86" s="14">
        <v>84</v>
      </c>
      <c r="AA86" s="2">
        <f>MAX(0,AA85+($Z$126-Z86-CUSUM!F86))</f>
        <v>31.097560975609781</v>
      </c>
      <c r="AB86" s="14">
        <v>84</v>
      </c>
      <c r="AC86" s="2">
        <f>MAX(0,AC85+($AB$126-AB86-CUSUM!F86))</f>
        <v>22.894308943089342</v>
      </c>
      <c r="AD86" s="14">
        <v>92</v>
      </c>
      <c r="AE86" s="2">
        <f>MAX(0,AE85+($AD$126-AD86-CUSUM!F86))</f>
        <v>0</v>
      </c>
      <c r="AF86" s="14">
        <v>80</v>
      </c>
      <c r="AG86" s="2">
        <f>MAX(0,AG85+($AF$126-AF86-CUSUM!F86))</f>
        <v>87.252032520325287</v>
      </c>
      <c r="AH86" s="14">
        <v>87</v>
      </c>
      <c r="AI86" s="2">
        <f>MAX(0,AI85+($AH$126-AH86-CUSUM!F86))</f>
        <v>23.105691056910644</v>
      </c>
      <c r="AJ86" s="14">
        <v>82</v>
      </c>
      <c r="AK86" s="2">
        <f>MAX(0,AK85+($AJ$126-AJ86-CUSUM!F86))</f>
        <v>8.3333333333333428</v>
      </c>
      <c r="AL86" s="14">
        <v>82</v>
      </c>
      <c r="AM86" s="2">
        <f>MAX(0,AM85+($AL$126-AL86-CUSUM!F86))</f>
        <v>4.4878048780487347</v>
      </c>
      <c r="AN86" s="14">
        <v>76</v>
      </c>
      <c r="AO86" s="2">
        <f>MAX(0,AO85+($AN$126-AN86-CUSUM!F86))</f>
        <v>32.308943089430855</v>
      </c>
    </row>
    <row r="87" spans="1:41" x14ac:dyDescent="0.2">
      <c r="A87" s="8">
        <v>43731</v>
      </c>
      <c r="B87" s="14">
        <v>84</v>
      </c>
      <c r="C87" s="2">
        <f>MAX(0,C86+($B$126-B87-CUSUM!F87))</f>
        <v>34.869918699187025</v>
      </c>
      <c r="D87" s="14">
        <v>80</v>
      </c>
      <c r="E87" s="2">
        <f>MAX(0,E86+($D$126-D87-CUSUM!F87))</f>
        <v>13.349593495934954</v>
      </c>
      <c r="F87" s="14">
        <v>84</v>
      </c>
      <c r="G87" s="2">
        <f>MAX(0,G86+($F$126-F87-CUSUM!F87))</f>
        <v>7.5609756097561274</v>
      </c>
      <c r="H87" s="14">
        <v>75</v>
      </c>
      <c r="I87" s="2">
        <f>MAX(0,I86+($H$126-H87-CUSUM!F87))</f>
        <v>49.861788617886191</v>
      </c>
      <c r="J87" s="14">
        <v>81</v>
      </c>
      <c r="K87" s="2">
        <f>MAX(0,K86+($J$126-J87-CUSUM!F87))</f>
        <v>107.74796747967477</v>
      </c>
      <c r="L87" s="14">
        <v>88</v>
      </c>
      <c r="M87" s="2">
        <f>MAX(0,M86+($L$126-L87-CUSUM!F87))</f>
        <v>0</v>
      </c>
      <c r="N87" s="14">
        <v>82</v>
      </c>
      <c r="O87" s="2">
        <f>MAX(0,O86+($N$126-N87-CUSUM!F87))</f>
        <v>11.51219512195118</v>
      </c>
      <c r="P87" s="14">
        <v>81</v>
      </c>
      <c r="Q87" s="2">
        <f>MAX(0,Q86+($P$126-P87-CUSUM!F87))</f>
        <v>15.634146341463492</v>
      </c>
      <c r="R87" s="14">
        <v>84</v>
      </c>
      <c r="S87" s="2">
        <f>MAX(0,S86+($R$126-R87-CUSUM!F87))</f>
        <v>47.227642276422785</v>
      </c>
      <c r="T87" s="14">
        <v>87</v>
      </c>
      <c r="U87" s="2">
        <f>MAX(0,U86+($T$126-T87-CUSUM!F87))</f>
        <v>0</v>
      </c>
      <c r="V87" s="14">
        <v>86</v>
      </c>
      <c r="W87" s="2">
        <f>MAX(0,W86+($V$126-V87-CUSUM!F87))</f>
        <v>34.829268292682897</v>
      </c>
      <c r="X87" s="14">
        <v>83</v>
      </c>
      <c r="Y87" s="2">
        <f>MAX(0,Y86+($X$126-X87-CUSUM!F87))</f>
        <v>48.382113821138134</v>
      </c>
      <c r="Z87" s="14">
        <v>82</v>
      </c>
      <c r="AA87" s="2">
        <f>MAX(0,AA86+($Z$126-Z87-CUSUM!F87))</f>
        <v>31.609756097561004</v>
      </c>
      <c r="AB87" s="14">
        <v>83</v>
      </c>
      <c r="AC87" s="2">
        <f>MAX(0,AC86+($AB$126-AB87-CUSUM!F87))</f>
        <v>20.886178861788522</v>
      </c>
      <c r="AD87" s="14">
        <v>91</v>
      </c>
      <c r="AE87" s="2">
        <f>MAX(0,AE86+($AD$126-AD87-CUSUM!F87))</f>
        <v>0</v>
      </c>
      <c r="AF87" s="14">
        <v>83</v>
      </c>
      <c r="AG87" s="2">
        <f>MAX(0,AG86+($AF$126-AF87-CUSUM!F87))</f>
        <v>89.528455284552933</v>
      </c>
      <c r="AH87" s="14">
        <v>81</v>
      </c>
      <c r="AI87" s="2">
        <f>MAX(0,AI86+($AH$126-AH87-CUSUM!F87))</f>
        <v>26.756097560975689</v>
      </c>
      <c r="AJ87" s="14">
        <v>82</v>
      </c>
      <c r="AK87" s="2">
        <f>MAX(0,AK86+($AJ$126-AJ87-CUSUM!F87))</f>
        <v>8.0000000000000142</v>
      </c>
      <c r="AL87" s="14">
        <v>77</v>
      </c>
      <c r="AM87" s="2">
        <f>MAX(0,AM86+($AL$126-AL87-CUSUM!F87))</f>
        <v>11.430894308943039</v>
      </c>
      <c r="AN87" s="14">
        <v>81</v>
      </c>
      <c r="AO87" s="2">
        <f>MAX(0,AO86+($AN$126-AN87-CUSUM!F87))</f>
        <v>34.609756097560933</v>
      </c>
    </row>
    <row r="88" spans="1:41" x14ac:dyDescent="0.2">
      <c r="A88" s="8">
        <v>43732</v>
      </c>
      <c r="B88" s="14">
        <v>84</v>
      </c>
      <c r="C88" s="2">
        <f>MAX(0,C87+($B$126-B88-CUSUM!F88))</f>
        <v>34.585365853658573</v>
      </c>
      <c r="D88" s="14">
        <v>82</v>
      </c>
      <c r="E88" s="2">
        <f>MAX(0,E87+($D$126-D88-CUSUM!F88))</f>
        <v>13.024390243902431</v>
      </c>
      <c r="F88" s="14">
        <v>81</v>
      </c>
      <c r="G88" s="2">
        <f>MAX(0,G87+($F$126-F88-CUSUM!F88))</f>
        <v>10.821138211382149</v>
      </c>
      <c r="H88" s="14">
        <v>78</v>
      </c>
      <c r="I88" s="2">
        <f>MAX(0,I87+($H$126-H88-CUSUM!F88))</f>
        <v>55.219512195121965</v>
      </c>
      <c r="J88" s="14">
        <v>84</v>
      </c>
      <c r="K88" s="2">
        <f>MAX(0,K87+($J$126-J88-CUSUM!F88))</f>
        <v>107.78048780487802</v>
      </c>
      <c r="L88" s="14">
        <v>69</v>
      </c>
      <c r="M88" s="2">
        <f>MAX(0,M87+($L$126-L88-CUSUM!F88))</f>
        <v>12.552845528455279</v>
      </c>
      <c r="N88" s="14">
        <v>73</v>
      </c>
      <c r="O88" s="9">
        <f>MAX(0,O87+($N$126-N88-CUSUM!F88))</f>
        <v>22.09756097560971</v>
      </c>
      <c r="P88" s="14">
        <v>80</v>
      </c>
      <c r="Q88" s="2">
        <f>MAX(0,Q87+($P$126-P88-CUSUM!F88))</f>
        <v>17.113821138211463</v>
      </c>
      <c r="R88" s="14">
        <v>82</v>
      </c>
      <c r="S88" s="2">
        <f>MAX(0,S87+($R$126-R88-CUSUM!F88))</f>
        <v>46.991869918699209</v>
      </c>
      <c r="T88" s="14">
        <v>88</v>
      </c>
      <c r="U88" s="2">
        <f>MAX(0,U87+($T$126-T88-CUSUM!F88))</f>
        <v>0</v>
      </c>
      <c r="V88" s="14">
        <v>84</v>
      </c>
      <c r="W88" s="2">
        <f>MAX(0,W87+($V$126-V88-CUSUM!F88))</f>
        <v>33.878048780487774</v>
      </c>
      <c r="X88" s="14">
        <v>89</v>
      </c>
      <c r="Y88" s="2">
        <f>MAX(0,Y87+($X$126-X88-CUSUM!F88))</f>
        <v>44.780487804877964</v>
      </c>
      <c r="Z88" s="14">
        <v>78</v>
      </c>
      <c r="AA88" s="2">
        <f>MAX(0,AA87+($Z$126-Z88-CUSUM!F88))</f>
        <v>36.121951219512226</v>
      </c>
      <c r="AB88" s="14">
        <v>85</v>
      </c>
      <c r="AC88" s="2">
        <f>MAX(0,AC87+($AB$126-AB88-CUSUM!F88))</f>
        <v>16.878048780487703</v>
      </c>
      <c r="AD88" s="14">
        <v>88</v>
      </c>
      <c r="AE88" s="2">
        <f>MAX(0,AE87+($AD$126-AD88-CUSUM!F88))</f>
        <v>0</v>
      </c>
      <c r="AF88" s="14">
        <v>82</v>
      </c>
      <c r="AG88" s="2">
        <f>MAX(0,AG87+($AF$126-AF88-CUSUM!F88))</f>
        <v>92.80487804878058</v>
      </c>
      <c r="AH88" s="14">
        <v>78</v>
      </c>
      <c r="AI88" s="2">
        <f>MAX(0,AI87+($AH$126-AH88-CUSUM!F88))</f>
        <v>33.406504065040735</v>
      </c>
      <c r="AJ88" s="14">
        <v>71</v>
      </c>
      <c r="AK88" s="2">
        <f>MAX(0,AK87+($AJ$126-AJ88-CUSUM!F88))</f>
        <v>18.666666666666686</v>
      </c>
      <c r="AL88" s="14">
        <v>78</v>
      </c>
      <c r="AM88" s="2">
        <f>MAX(0,AM87+($AL$126-AL88-CUSUM!F88))</f>
        <v>17.373983739837342</v>
      </c>
      <c r="AN88" s="14">
        <v>74</v>
      </c>
      <c r="AO88" s="2">
        <f>MAX(0,AO87+($AN$126-AN88-CUSUM!F88))</f>
        <v>43.91056910569101</v>
      </c>
    </row>
    <row r="89" spans="1:41" x14ac:dyDescent="0.2">
      <c r="A89" s="8">
        <v>43733</v>
      </c>
      <c r="B89" s="14">
        <v>87</v>
      </c>
      <c r="C89" s="2">
        <f>MAX(0,C88+($B$126-B89-CUSUM!F89))</f>
        <v>31.30081300813012</v>
      </c>
      <c r="D89" s="14">
        <v>66</v>
      </c>
      <c r="E89" s="9">
        <f>MAX(0,E88+($D$126-D89-CUSUM!F89))</f>
        <v>28.699186991869908</v>
      </c>
      <c r="F89" s="14">
        <v>82</v>
      </c>
      <c r="G89" s="2">
        <f>MAX(0,G88+($F$126-F89-CUSUM!F89))</f>
        <v>13.08130081300817</v>
      </c>
      <c r="H89" s="14">
        <v>81</v>
      </c>
      <c r="I89" s="2">
        <f>MAX(0,I88+($H$126-H89-CUSUM!F89))</f>
        <v>57.577235772357739</v>
      </c>
      <c r="J89" s="14">
        <v>82</v>
      </c>
      <c r="K89" s="2">
        <f>MAX(0,K88+($J$126-J89-CUSUM!F89))</f>
        <v>109.81300813008127</v>
      </c>
      <c r="L89" s="14">
        <v>66</v>
      </c>
      <c r="M89" s="9">
        <f>MAX(0,M88+($L$126-L89-CUSUM!F89))</f>
        <v>28.105691056910558</v>
      </c>
      <c r="N89" s="14">
        <v>69</v>
      </c>
      <c r="O89" s="2">
        <f>MAX(0,O88+($N$126-N89-CUSUM!F89))</f>
        <v>36.68292682926824</v>
      </c>
      <c r="P89" s="14">
        <v>82</v>
      </c>
      <c r="Q89" s="2">
        <f>MAX(0,Q88+($P$126-P89-CUSUM!F89))</f>
        <v>16.593495934959435</v>
      </c>
      <c r="R89" s="14">
        <v>81</v>
      </c>
      <c r="S89" s="2">
        <f>MAX(0,S88+($R$126-R89-CUSUM!F89))</f>
        <v>47.756097560975633</v>
      </c>
      <c r="T89" s="14">
        <v>85</v>
      </c>
      <c r="U89" s="2">
        <f>MAX(0,U88+($T$126-T89-CUSUM!F89))</f>
        <v>0</v>
      </c>
      <c r="V89" s="14">
        <v>75</v>
      </c>
      <c r="W89" s="2">
        <f>MAX(0,W88+($V$126-V89-CUSUM!F89))</f>
        <v>41.92682926829265</v>
      </c>
      <c r="X89" s="14">
        <v>87</v>
      </c>
      <c r="Y89" s="2">
        <f>MAX(0,Y88+($X$126-X89-CUSUM!F89))</f>
        <v>43.178861788617795</v>
      </c>
      <c r="Z89" s="14">
        <v>82</v>
      </c>
      <c r="AA89" s="2">
        <f>MAX(0,AA88+($Z$126-Z89-CUSUM!F89))</f>
        <v>36.634146341463449</v>
      </c>
      <c r="AB89" s="14">
        <v>87</v>
      </c>
      <c r="AC89" s="2">
        <f>MAX(0,AC88+($AB$126-AB89-CUSUM!F89))</f>
        <v>10.869918699186883</v>
      </c>
      <c r="AD89" s="14">
        <v>93</v>
      </c>
      <c r="AE89" s="2">
        <f>MAX(0,AE88+($AD$126-AD89-CUSUM!F89))</f>
        <v>0</v>
      </c>
      <c r="AF89" s="14">
        <v>88</v>
      </c>
      <c r="AG89" s="2">
        <f>MAX(0,AG88+($AF$126-AF89-CUSUM!F89))</f>
        <v>90.081300813008227</v>
      </c>
      <c r="AH89" s="14">
        <v>82</v>
      </c>
      <c r="AI89" s="2">
        <f>MAX(0,AI88+($AH$126-AH89-CUSUM!F89))</f>
        <v>36.056910569105781</v>
      </c>
      <c r="AJ89" s="14">
        <v>67</v>
      </c>
      <c r="AK89" s="2">
        <f>MAX(0,AK88+($AJ$126-AJ89-CUSUM!F89))</f>
        <v>33.333333333333357</v>
      </c>
      <c r="AL89" s="14">
        <v>77</v>
      </c>
      <c r="AM89" s="9">
        <f>MAX(0,AM88+($AL$126-AL89-CUSUM!F89))</f>
        <v>24.317073170731646</v>
      </c>
      <c r="AN89" s="14">
        <v>67</v>
      </c>
      <c r="AO89" s="2">
        <f>MAX(0,AO88+($AN$126-AN89-CUSUM!F89))</f>
        <v>60.211382113821088</v>
      </c>
    </row>
    <row r="90" spans="1:41" x14ac:dyDescent="0.2">
      <c r="A90" s="8">
        <v>43734</v>
      </c>
      <c r="B90" s="14">
        <v>84</v>
      </c>
      <c r="C90" s="2">
        <f>MAX(0,C89+($B$126-B90-CUSUM!F90))</f>
        <v>31.016260162601668</v>
      </c>
      <c r="D90" s="14">
        <v>70</v>
      </c>
      <c r="E90" s="2">
        <f>MAX(0,E89+($D$126-D90-CUSUM!F90))</f>
        <v>40.373983739837385</v>
      </c>
      <c r="F90" s="14">
        <v>84</v>
      </c>
      <c r="G90" s="2">
        <f>MAX(0,G89+($F$126-F90-CUSUM!F90))</f>
        <v>13.341463414634191</v>
      </c>
      <c r="H90" s="14">
        <v>82</v>
      </c>
      <c r="I90" s="2">
        <f>MAX(0,I89+($H$126-H90-CUSUM!F90))</f>
        <v>58.934959349593512</v>
      </c>
      <c r="J90" s="14">
        <v>68</v>
      </c>
      <c r="K90" s="2">
        <f>MAX(0,K89+($J$126-J90-CUSUM!F90))</f>
        <v>125.84552845528452</v>
      </c>
      <c r="L90" s="14">
        <v>72</v>
      </c>
      <c r="M90" s="2">
        <f>MAX(0,M89+($L$126-L90-CUSUM!F90))</f>
        <v>37.658536585365837</v>
      </c>
      <c r="N90" s="14">
        <v>75</v>
      </c>
      <c r="O90" s="2">
        <f>MAX(0,O89+($N$126-N90-CUSUM!F90))</f>
        <v>45.26829268292677</v>
      </c>
      <c r="P90" s="14">
        <v>82</v>
      </c>
      <c r="Q90" s="2">
        <f>MAX(0,Q89+($P$126-P90-CUSUM!F90))</f>
        <v>16.073170731707407</v>
      </c>
      <c r="R90" s="14">
        <v>79</v>
      </c>
      <c r="S90" s="2">
        <f>MAX(0,S89+($R$126-R90-CUSUM!F90))</f>
        <v>50.520325203252057</v>
      </c>
      <c r="T90" s="14">
        <v>77</v>
      </c>
      <c r="U90" s="2">
        <f>MAX(0,U89+($T$126-T90-CUSUM!F90))</f>
        <v>6.3577235772357739</v>
      </c>
      <c r="V90" s="14">
        <v>78</v>
      </c>
      <c r="W90" s="2">
        <f>MAX(0,W89+($V$126-V90-CUSUM!F90))</f>
        <v>46.975609756097526</v>
      </c>
      <c r="X90" s="14">
        <v>84</v>
      </c>
      <c r="Y90" s="2">
        <f>MAX(0,Y89+($X$126-X90-CUSUM!F90))</f>
        <v>44.577235772357625</v>
      </c>
      <c r="Z90" s="14">
        <v>80</v>
      </c>
      <c r="AA90" s="2">
        <f>MAX(0,AA89+($Z$126-Z90-CUSUM!F90))</f>
        <v>39.146341463414672</v>
      </c>
      <c r="AB90" s="14">
        <v>85</v>
      </c>
      <c r="AC90" s="2">
        <f>MAX(0,AC89+($AB$126-AB90-CUSUM!F90))</f>
        <v>6.861788617886063</v>
      </c>
      <c r="AD90" s="14">
        <v>76</v>
      </c>
      <c r="AE90" s="2">
        <f>MAX(0,AE89+($AD$126-AD90-CUSUM!F90))</f>
        <v>11.211382113821145</v>
      </c>
      <c r="AF90" s="14">
        <v>86</v>
      </c>
      <c r="AG90" s="2">
        <f>MAX(0,AG89+($AF$126-AF90-CUSUM!F90))</f>
        <v>89.357723577235873</v>
      </c>
      <c r="AH90" s="14">
        <v>86</v>
      </c>
      <c r="AI90" s="2">
        <f>MAX(0,AI89+($AH$126-AH90-CUSUM!F90))</f>
        <v>34.707317073170827</v>
      </c>
      <c r="AJ90" s="14">
        <v>78</v>
      </c>
      <c r="AK90" s="2">
        <f>MAX(0,AK89+($AJ$126-AJ90-CUSUM!F90))</f>
        <v>37.000000000000028</v>
      </c>
      <c r="AL90" s="14">
        <v>74</v>
      </c>
      <c r="AM90" s="2">
        <f>MAX(0,AM89+($AL$126-AL90-CUSUM!F90))</f>
        <v>34.26016260162595</v>
      </c>
      <c r="AN90" s="14">
        <v>71</v>
      </c>
      <c r="AO90" s="2">
        <f>MAX(0,AO89+($AN$126-AN90-CUSUM!F90))</f>
        <v>72.512195121951166</v>
      </c>
    </row>
    <row r="91" spans="1:41" x14ac:dyDescent="0.2">
      <c r="A91" s="8">
        <v>43735</v>
      </c>
      <c r="B91" s="14">
        <v>79</v>
      </c>
      <c r="C91" s="2">
        <f>MAX(0,C90+($B$126-B91-CUSUM!F91))</f>
        <v>35.731707317073216</v>
      </c>
      <c r="D91" s="14">
        <v>64</v>
      </c>
      <c r="E91" s="2">
        <f>MAX(0,E90+($D$126-D91-CUSUM!F91))</f>
        <v>58.048780487804862</v>
      </c>
      <c r="F91" s="14">
        <v>87</v>
      </c>
      <c r="G91" s="2">
        <f>MAX(0,G90+($F$126-F91-CUSUM!F91))</f>
        <v>10.601626016260212</v>
      </c>
      <c r="H91" s="14">
        <v>78</v>
      </c>
      <c r="I91" s="2">
        <f>MAX(0,I90+($H$126-H91-CUSUM!F91))</f>
        <v>64.292682926829286</v>
      </c>
      <c r="J91" s="14">
        <v>71</v>
      </c>
      <c r="K91" s="2">
        <f>MAX(0,K90+($J$126-J91-CUSUM!F91))</f>
        <v>138.87804878048777</v>
      </c>
      <c r="L91" s="14">
        <v>75</v>
      </c>
      <c r="M91" s="2">
        <f>MAX(0,M90+($L$126-L91-CUSUM!F91))</f>
        <v>44.211382113821116</v>
      </c>
      <c r="N91" s="14">
        <v>75</v>
      </c>
      <c r="O91" s="2">
        <f>MAX(0,O90+($N$126-N91-CUSUM!F91))</f>
        <v>53.8536585365853</v>
      </c>
      <c r="P91" s="14">
        <v>82</v>
      </c>
      <c r="Q91" s="2">
        <f>MAX(0,Q90+($P$126-P91-CUSUM!F91))</f>
        <v>15.552845528455379</v>
      </c>
      <c r="R91" s="14">
        <v>72</v>
      </c>
      <c r="S91" s="2">
        <f>MAX(0,S90+($R$126-R91-CUSUM!F91))</f>
        <v>60.284552845528481</v>
      </c>
      <c r="T91" s="14">
        <v>86</v>
      </c>
      <c r="U91" s="2">
        <f>MAX(0,U90+($T$126-T91-CUSUM!F91))</f>
        <v>3.7154471544715477</v>
      </c>
      <c r="V91" s="14">
        <v>79</v>
      </c>
      <c r="W91" s="2">
        <f>MAX(0,W90+($V$126-V91-CUSUM!F91))</f>
        <v>51.024390243902403</v>
      </c>
      <c r="X91" s="14">
        <v>85</v>
      </c>
      <c r="Y91" s="2">
        <f>MAX(0,Y90+($X$126-X91-CUSUM!F91))</f>
        <v>44.975609756097455</v>
      </c>
      <c r="Z91" s="14">
        <v>77</v>
      </c>
      <c r="AA91" s="2">
        <f>MAX(0,AA90+($Z$126-Z91-CUSUM!F91))</f>
        <v>44.658536585365894</v>
      </c>
      <c r="AB91" s="14">
        <v>80</v>
      </c>
      <c r="AC91" s="2">
        <f>MAX(0,AC90+($AB$126-AB91-CUSUM!F91))</f>
        <v>7.8536585365852432</v>
      </c>
      <c r="AD91" s="14">
        <v>81</v>
      </c>
      <c r="AE91" s="2">
        <f>MAX(0,AE90+($AD$126-AD91-CUSUM!F91))</f>
        <v>17.42276422764229</v>
      </c>
      <c r="AF91" s="14">
        <v>84</v>
      </c>
      <c r="AG91" s="2">
        <f>MAX(0,AG90+($AF$126-AF91-CUSUM!F91))</f>
        <v>90.63414634146352</v>
      </c>
      <c r="AH91" s="14">
        <v>88</v>
      </c>
      <c r="AI91" s="2">
        <f>MAX(0,AI90+($AH$126-AH91-CUSUM!F91))</f>
        <v>31.357723577235873</v>
      </c>
      <c r="AJ91" s="14">
        <v>79</v>
      </c>
      <c r="AK91" s="2">
        <f>MAX(0,AK90+($AJ$126-AJ91-CUSUM!F91))</f>
        <v>39.6666666666667</v>
      </c>
      <c r="AL91" s="14">
        <v>78</v>
      </c>
      <c r="AM91" s="2">
        <f>MAX(0,AM90+($AL$126-AL91-CUSUM!F91))</f>
        <v>40.203252032520254</v>
      </c>
      <c r="AN91" s="14">
        <v>71</v>
      </c>
      <c r="AO91" s="2">
        <f>MAX(0,AO90+($AN$126-AN91-CUSUM!F91))</f>
        <v>84.813008130081244</v>
      </c>
    </row>
    <row r="92" spans="1:41" x14ac:dyDescent="0.2">
      <c r="A92" s="8">
        <v>43736</v>
      </c>
      <c r="B92" s="14">
        <v>75</v>
      </c>
      <c r="C92" s="2">
        <f>MAX(0,C91+($B$126-B92-CUSUM!F92))</f>
        <v>44.447154471544764</v>
      </c>
      <c r="D92" s="14">
        <v>68</v>
      </c>
      <c r="E92" s="2">
        <f>MAX(0,E91+($D$126-D92-CUSUM!F92))</f>
        <v>71.723577235772339</v>
      </c>
      <c r="F92" s="14">
        <v>80</v>
      </c>
      <c r="G92" s="2">
        <f>MAX(0,G91+($F$126-F92-CUSUM!F92))</f>
        <v>14.861788617886234</v>
      </c>
      <c r="H92" s="14">
        <v>80</v>
      </c>
      <c r="I92" s="2">
        <f>MAX(0,I91+($H$126-H92-CUSUM!F92))</f>
        <v>67.65040650406506</v>
      </c>
      <c r="J92" s="14">
        <v>75</v>
      </c>
      <c r="K92" s="2">
        <f>MAX(0,K91+($J$126-J92-CUSUM!F92))</f>
        <v>147.91056910569102</v>
      </c>
      <c r="L92" s="14">
        <v>78</v>
      </c>
      <c r="M92" s="2">
        <f>MAX(0,M91+($L$126-L92-CUSUM!F92))</f>
        <v>47.764227642276396</v>
      </c>
      <c r="N92" s="14">
        <v>79</v>
      </c>
      <c r="O92" s="2">
        <f>MAX(0,O91+($N$126-N92-CUSUM!F92))</f>
        <v>58.43902439024383</v>
      </c>
      <c r="P92" s="14">
        <v>73</v>
      </c>
      <c r="Q92" s="9">
        <f>MAX(0,Q91+($P$126-P92-CUSUM!F92))</f>
        <v>24.03252032520335</v>
      </c>
      <c r="R92" s="14">
        <v>78</v>
      </c>
      <c r="S92" s="2">
        <f>MAX(0,S91+($R$126-R92-CUSUM!F92))</f>
        <v>64.048780487804905</v>
      </c>
      <c r="T92" s="14">
        <v>85</v>
      </c>
      <c r="U92" s="2">
        <f>MAX(0,U91+($T$126-T92-CUSUM!F92))</f>
        <v>2.0731707317073216</v>
      </c>
      <c r="V92" s="14">
        <v>81</v>
      </c>
      <c r="W92" s="2">
        <f>MAX(0,W91+($V$126-V92-CUSUM!F92))</f>
        <v>53.073170731707279</v>
      </c>
      <c r="X92" s="14">
        <v>85</v>
      </c>
      <c r="Y92" s="2">
        <f>MAX(0,Y91+($X$126-X92-CUSUM!F92))</f>
        <v>45.373983739837286</v>
      </c>
      <c r="Z92" s="14">
        <v>86</v>
      </c>
      <c r="AA92" s="2">
        <f>MAX(0,AA91+($Z$126-Z92-CUSUM!F92))</f>
        <v>41.170731707317117</v>
      </c>
      <c r="AB92" s="14">
        <v>83</v>
      </c>
      <c r="AC92" s="2">
        <f>MAX(0,AC91+($AB$126-AB92-CUSUM!F92))</f>
        <v>5.8455284552844233</v>
      </c>
      <c r="AD92" s="14">
        <v>76</v>
      </c>
      <c r="AE92" s="9">
        <f>MAX(0,AE91+($AD$126-AD92-CUSUM!F92))</f>
        <v>28.634146341463435</v>
      </c>
      <c r="AF92" s="14">
        <v>79</v>
      </c>
      <c r="AG92" s="2">
        <f>MAX(0,AG91+($AF$126-AF92-CUSUM!F92))</f>
        <v>96.910569105691167</v>
      </c>
      <c r="AH92" s="14">
        <v>86</v>
      </c>
      <c r="AI92" s="2">
        <f>MAX(0,AI91+($AH$126-AH92-CUSUM!F92))</f>
        <v>30.008130081300919</v>
      </c>
      <c r="AJ92" s="14">
        <v>77</v>
      </c>
      <c r="AK92" s="2">
        <f>MAX(0,AK91+($AJ$126-AJ92-CUSUM!F92))</f>
        <v>44.333333333333371</v>
      </c>
      <c r="AL92" s="14">
        <v>74</v>
      </c>
      <c r="AM92" s="2">
        <f>MAX(0,AM91+($AL$126-AL92-CUSUM!F92))</f>
        <v>50.146341463414558</v>
      </c>
      <c r="AN92" s="14">
        <v>75</v>
      </c>
      <c r="AO92" s="2">
        <f>MAX(0,AO91+($AN$126-AN92-CUSUM!F92))</f>
        <v>93.113821138211321</v>
      </c>
    </row>
    <row r="93" spans="1:41" x14ac:dyDescent="0.2">
      <c r="A93" s="8">
        <v>43737</v>
      </c>
      <c r="B93" s="14">
        <v>72</v>
      </c>
      <c r="C93" s="2">
        <f>MAX(0,C92+($B$126-B93-CUSUM!F93))</f>
        <v>56.162601626016311</v>
      </c>
      <c r="D93" s="14">
        <v>77</v>
      </c>
      <c r="E93" s="2">
        <f>MAX(0,E92+($D$126-D93-CUSUM!F93))</f>
        <v>76.398373983739816</v>
      </c>
      <c r="F93" s="14">
        <v>75</v>
      </c>
      <c r="G93" s="9">
        <f>MAX(0,G92+($F$126-F93-CUSUM!F93))</f>
        <v>24.121951219512255</v>
      </c>
      <c r="H93" s="14">
        <v>77</v>
      </c>
      <c r="I93" s="2">
        <f>MAX(0,I92+($H$126-H93-CUSUM!F93))</f>
        <v>74.008130081300834</v>
      </c>
      <c r="J93" s="14">
        <v>73</v>
      </c>
      <c r="K93" s="2">
        <f>MAX(0,K92+($J$126-J93-CUSUM!F93))</f>
        <v>158.94308943089428</v>
      </c>
      <c r="L93" s="14">
        <v>71</v>
      </c>
      <c r="M93" s="2">
        <f>MAX(0,M92+($L$126-L93-CUSUM!F93))</f>
        <v>58.317073170731675</v>
      </c>
      <c r="N93" s="14">
        <v>73</v>
      </c>
      <c r="O93" s="2">
        <f>MAX(0,O92+($N$126-N93-CUSUM!F93))</f>
        <v>69.02439024390236</v>
      </c>
      <c r="P93" s="14">
        <v>66</v>
      </c>
      <c r="Q93" s="2">
        <f>MAX(0,Q92+($P$126-P93-CUSUM!F93))</f>
        <v>39.512195121951322</v>
      </c>
      <c r="R93" s="14">
        <v>78</v>
      </c>
      <c r="S93" s="2">
        <f>MAX(0,S92+($R$126-R93-CUSUM!F93))</f>
        <v>67.813008130081329</v>
      </c>
      <c r="T93" s="14">
        <v>85</v>
      </c>
      <c r="U93" s="2">
        <f>MAX(0,U92+($T$126-T93-CUSUM!F93))</f>
        <v>0.43089430894309544</v>
      </c>
      <c r="V93" s="14">
        <v>70</v>
      </c>
      <c r="W93" s="2">
        <f>MAX(0,W92+($V$126-V93-CUSUM!F93))</f>
        <v>66.121951219512155</v>
      </c>
      <c r="X93" s="14">
        <v>81</v>
      </c>
      <c r="Y93" s="2">
        <f>MAX(0,Y92+($X$126-X93-CUSUM!F93))</f>
        <v>49.772357723577116</v>
      </c>
      <c r="Z93" s="14">
        <v>86</v>
      </c>
      <c r="AA93" s="2">
        <f>MAX(0,AA92+($Z$126-Z93-CUSUM!F93))</f>
        <v>37.682926829268339</v>
      </c>
      <c r="AB93" s="14">
        <v>72</v>
      </c>
      <c r="AC93" s="2">
        <f>MAX(0,AC92+($AB$126-AB93-CUSUM!F93))</f>
        <v>14.837398373983604</v>
      </c>
      <c r="AD93" s="14">
        <v>79</v>
      </c>
      <c r="AE93" s="2">
        <f>MAX(0,AE92+($AD$126-AD93-CUSUM!F93))</f>
        <v>36.84552845528458</v>
      </c>
      <c r="AF93" s="14">
        <v>84</v>
      </c>
      <c r="AG93" s="2">
        <f>MAX(0,AG92+($AF$126-AF93-CUSUM!F93))</f>
        <v>98.186991869918813</v>
      </c>
      <c r="AH93" s="14">
        <v>84</v>
      </c>
      <c r="AI93" s="2">
        <f>MAX(0,AI92+($AH$126-AH93-CUSUM!F93))</f>
        <v>30.658536585365965</v>
      </c>
      <c r="AJ93" s="14">
        <v>76</v>
      </c>
      <c r="AK93" s="2">
        <f>MAX(0,AK92+($AJ$126-AJ93-CUSUM!F93))</f>
        <v>50.000000000000043</v>
      </c>
      <c r="AL93" s="14">
        <v>71</v>
      </c>
      <c r="AM93" s="2">
        <f>MAX(0,AM92+($AL$126-AL93-CUSUM!F93))</f>
        <v>63.089430894308862</v>
      </c>
      <c r="AN93" s="14">
        <v>77</v>
      </c>
      <c r="AO93" s="2">
        <f>MAX(0,AO92+($AN$126-AN93-CUSUM!F93))</f>
        <v>99.414634146341399</v>
      </c>
    </row>
    <row r="94" spans="1:41" x14ac:dyDescent="0.2">
      <c r="A94" s="8">
        <v>43738</v>
      </c>
      <c r="B94" s="14">
        <v>64</v>
      </c>
      <c r="C94" s="2">
        <f>MAX(0,C93+($B$126-B94-CUSUM!F94))</f>
        <v>75.878048780487859</v>
      </c>
      <c r="D94" s="14">
        <v>86</v>
      </c>
      <c r="E94" s="2">
        <f>MAX(0,E93+($D$126-D94-CUSUM!F94))</f>
        <v>72.073170731707293</v>
      </c>
      <c r="F94" s="14">
        <v>75</v>
      </c>
      <c r="G94" s="2">
        <f>MAX(0,G93+($F$126-F94-CUSUM!F94))</f>
        <v>33.382113821138276</v>
      </c>
      <c r="H94" s="14">
        <v>71</v>
      </c>
      <c r="I94" s="2">
        <f>MAX(0,I93+($H$126-H94-CUSUM!F94))</f>
        <v>86.365853658536608</v>
      </c>
      <c r="J94" s="14">
        <v>75</v>
      </c>
      <c r="K94" s="2">
        <f>MAX(0,K93+($J$126-J94-CUSUM!F94))</f>
        <v>167.97560975609753</v>
      </c>
      <c r="L94" s="14">
        <v>71</v>
      </c>
      <c r="M94" s="2">
        <f>MAX(0,M93+($L$126-L94-CUSUM!F94))</f>
        <v>68.869918699186954</v>
      </c>
      <c r="N94" s="14">
        <v>79</v>
      </c>
      <c r="O94" s="2">
        <f>MAX(0,O93+($N$126-N94-CUSUM!F94))</f>
        <v>73.60975609756089</v>
      </c>
      <c r="P94" s="14">
        <v>71</v>
      </c>
      <c r="Q94" s="2">
        <f>MAX(0,Q93+($P$126-P94-CUSUM!F94))</f>
        <v>49.991869918699294</v>
      </c>
      <c r="R94" s="14">
        <v>80</v>
      </c>
      <c r="S94" s="2">
        <f>MAX(0,S93+($R$126-R94-CUSUM!F94))</f>
        <v>69.577235772357753</v>
      </c>
      <c r="T94" s="14">
        <v>82</v>
      </c>
      <c r="U94" s="2">
        <f>MAX(0,U93+($T$126-T94-CUSUM!F94))</f>
        <v>1.7886178861788693</v>
      </c>
      <c r="V94" s="14">
        <v>75</v>
      </c>
      <c r="W94" s="2">
        <f>MAX(0,W93+($V$126-V94-CUSUM!F94))</f>
        <v>74.170731707317032</v>
      </c>
      <c r="X94" s="14">
        <v>79</v>
      </c>
      <c r="Y94" s="2">
        <f>MAX(0,Y93+($X$126-X94-CUSUM!F94))</f>
        <v>56.170731707316946</v>
      </c>
      <c r="Z94" s="14">
        <v>86</v>
      </c>
      <c r="AA94" s="2">
        <f>MAX(0,AA93+($Z$126-Z94-CUSUM!F94))</f>
        <v>34.195121951219562</v>
      </c>
      <c r="AB94" s="14">
        <v>74</v>
      </c>
      <c r="AC94" s="2">
        <f>MAX(0,AC93+($AB$126-AB94-CUSUM!F94))</f>
        <v>21.829268292682784</v>
      </c>
      <c r="AD94" s="14">
        <v>76</v>
      </c>
      <c r="AE94" s="2">
        <f>MAX(0,AE93+($AD$126-AD94-CUSUM!F94))</f>
        <v>48.056910569105725</v>
      </c>
      <c r="AF94" s="14">
        <v>78</v>
      </c>
      <c r="AG94" s="2">
        <f>MAX(0,AG93+($AF$126-AF94-CUSUM!F94))</f>
        <v>105.46341463414646</v>
      </c>
      <c r="AH94" s="14">
        <v>72</v>
      </c>
      <c r="AI94" s="2">
        <f>MAX(0,AI93+($AH$126-AH94-CUSUM!F94))</f>
        <v>43.308943089431011</v>
      </c>
      <c r="AJ94" s="14">
        <v>77</v>
      </c>
      <c r="AK94" s="2">
        <f>MAX(0,AK93+($AJ$126-AJ94-CUSUM!F94))</f>
        <v>54.666666666666714</v>
      </c>
      <c r="AL94" s="14">
        <v>84</v>
      </c>
      <c r="AM94" s="2">
        <f>MAX(0,AM93+($AL$126-AL94-CUSUM!F94))</f>
        <v>63.032520325203166</v>
      </c>
      <c r="AN94" s="14">
        <v>85</v>
      </c>
      <c r="AO94" s="2">
        <f>MAX(0,AO93+($AN$126-AN94-CUSUM!F94))</f>
        <v>97.715447154471477</v>
      </c>
    </row>
    <row r="95" spans="1:41" x14ac:dyDescent="0.2">
      <c r="A95" s="8">
        <v>43739</v>
      </c>
      <c r="B95" s="14">
        <v>66</v>
      </c>
      <c r="C95" s="2">
        <f>MAX(0,C94+($B$126-B95-CUSUM!F95))</f>
        <v>93.593495934959407</v>
      </c>
      <c r="D95" s="14">
        <v>75</v>
      </c>
      <c r="E95" s="2">
        <f>MAX(0,E94+($D$126-D95-CUSUM!F95))</f>
        <v>78.74796747967477</v>
      </c>
      <c r="F95" s="14">
        <v>86</v>
      </c>
      <c r="G95" s="2">
        <f>MAX(0,G94+($F$126-F95-CUSUM!F95))</f>
        <v>31.642276422764297</v>
      </c>
      <c r="H95" s="14">
        <v>73</v>
      </c>
      <c r="I95" s="2">
        <f>MAX(0,I94+($H$126-H95-CUSUM!F95))</f>
        <v>96.723577235772382</v>
      </c>
      <c r="J95" s="14">
        <v>77</v>
      </c>
      <c r="K95" s="2">
        <f>MAX(0,K94+($J$126-J95-CUSUM!F95))</f>
        <v>175.00813008130078</v>
      </c>
      <c r="L95" s="14">
        <v>75</v>
      </c>
      <c r="M95" s="2">
        <f>MAX(0,M94+($L$126-L95-CUSUM!F95))</f>
        <v>75.422764227642233</v>
      </c>
      <c r="N95" s="14">
        <v>82</v>
      </c>
      <c r="O95" s="2">
        <f>MAX(0,O94+($N$126-N95-CUSUM!F95))</f>
        <v>75.19512195121942</v>
      </c>
      <c r="P95" s="14">
        <v>72</v>
      </c>
      <c r="Q95" s="2">
        <f>MAX(0,Q94+($P$126-P95-CUSUM!F95))</f>
        <v>59.471544715447266</v>
      </c>
      <c r="R95" s="14">
        <v>82</v>
      </c>
      <c r="S95" s="2">
        <f>MAX(0,S94+($R$126-R95-CUSUM!F95))</f>
        <v>69.341463414634177</v>
      </c>
      <c r="T95" s="14">
        <v>83</v>
      </c>
      <c r="U95" s="2">
        <f>MAX(0,U94+($T$126-T95-CUSUM!F95))</f>
        <v>2.1463414634146432</v>
      </c>
      <c r="V95" s="14">
        <v>83</v>
      </c>
      <c r="W95" s="2">
        <f>MAX(0,W94+($V$126-V95-CUSUM!F95))</f>
        <v>74.219512195121908</v>
      </c>
      <c r="X95" s="14">
        <v>80</v>
      </c>
      <c r="Y95" s="2">
        <f>MAX(0,Y94+($X$126-X95-CUSUM!F95))</f>
        <v>61.569105691056777</v>
      </c>
      <c r="Z95" s="14">
        <v>74</v>
      </c>
      <c r="AA95" s="2">
        <f>MAX(0,AA94+($Z$126-Z95-CUSUM!F95))</f>
        <v>42.707317073170785</v>
      </c>
      <c r="AB95" s="14">
        <v>76</v>
      </c>
      <c r="AC95" s="2">
        <f>MAX(0,AC94+($AB$126-AB95-CUSUM!F95))</f>
        <v>26.821138211381964</v>
      </c>
      <c r="AD95" s="14">
        <v>79</v>
      </c>
      <c r="AE95" s="2">
        <f>MAX(0,AE94+($AD$126-AD95-CUSUM!F95))</f>
        <v>56.268292682926869</v>
      </c>
      <c r="AF95" s="14">
        <v>65</v>
      </c>
      <c r="AG95" s="2">
        <f>MAX(0,AG94+($AF$126-AF95-CUSUM!F95))</f>
        <v>125.73983739837411</v>
      </c>
      <c r="AH95" s="14">
        <v>75</v>
      </c>
      <c r="AI95" s="2">
        <f>MAX(0,AI94+($AH$126-AH95-CUSUM!F95))</f>
        <v>52.959349593496057</v>
      </c>
      <c r="AJ95" s="14">
        <v>82</v>
      </c>
      <c r="AK95" s="2">
        <f>MAX(0,AK94+($AJ$126-AJ95-CUSUM!F95))</f>
        <v>54.333333333333385</v>
      </c>
      <c r="AL95" s="14">
        <v>86</v>
      </c>
      <c r="AM95" s="2">
        <f>MAX(0,AM94+($AL$126-AL95-CUSUM!F95))</f>
        <v>60.975609756097469</v>
      </c>
      <c r="AN95" s="14">
        <v>71</v>
      </c>
      <c r="AO95" s="2">
        <f>MAX(0,AO94+($AN$126-AN95-CUSUM!F95))</f>
        <v>110.01626016260155</v>
      </c>
    </row>
    <row r="96" spans="1:41" x14ac:dyDescent="0.2">
      <c r="A96" s="8">
        <v>43740</v>
      </c>
      <c r="B96" s="14">
        <v>72</v>
      </c>
      <c r="C96" s="2">
        <f>MAX(0,C95+($B$126-B96-CUSUM!F96))</f>
        <v>105.30894308943095</v>
      </c>
      <c r="D96" s="14">
        <v>73</v>
      </c>
      <c r="E96" s="2">
        <f>MAX(0,E95+($D$126-D96-CUSUM!F96))</f>
        <v>87.422764227642247</v>
      </c>
      <c r="F96" s="14">
        <v>78</v>
      </c>
      <c r="G96" s="2">
        <f>MAX(0,G95+($F$126-F96-CUSUM!F96))</f>
        <v>37.902439024390318</v>
      </c>
      <c r="H96" s="14">
        <v>75</v>
      </c>
      <c r="I96" s="2">
        <f>MAX(0,I95+($H$126-H96-CUSUM!F96))</f>
        <v>105.08130081300816</v>
      </c>
      <c r="J96" s="14">
        <v>79</v>
      </c>
      <c r="K96" s="2">
        <f>MAX(0,K95+($J$126-J96-CUSUM!F96))</f>
        <v>180.04065040650403</v>
      </c>
      <c r="L96" s="14">
        <v>80</v>
      </c>
      <c r="M96" s="2">
        <f>MAX(0,M95+($L$126-L96-CUSUM!F96))</f>
        <v>76.975609756097512</v>
      </c>
      <c r="N96" s="14">
        <v>84</v>
      </c>
      <c r="O96" s="2">
        <f>MAX(0,O95+($N$126-N96-CUSUM!F96))</f>
        <v>74.78048780487795</v>
      </c>
      <c r="P96" s="14">
        <v>68</v>
      </c>
      <c r="Q96" s="2">
        <f>MAX(0,Q95+($P$126-P96-CUSUM!F96))</f>
        <v>72.951219512195237</v>
      </c>
      <c r="R96" s="14">
        <v>82</v>
      </c>
      <c r="S96" s="2">
        <f>MAX(0,S95+($R$126-R96-CUSUM!F96))</f>
        <v>69.105691056910601</v>
      </c>
      <c r="T96" s="14">
        <v>85</v>
      </c>
      <c r="U96" s="2">
        <f>MAX(0,U95+($T$126-T96-CUSUM!F96))</f>
        <v>0.50406504065041702</v>
      </c>
      <c r="V96" s="14">
        <v>81</v>
      </c>
      <c r="W96" s="2">
        <f>MAX(0,W95+($V$126-V96-CUSUM!F96))</f>
        <v>76.268292682926784</v>
      </c>
      <c r="X96" s="14">
        <v>82</v>
      </c>
      <c r="Y96" s="2">
        <f>MAX(0,Y95+($X$126-X96-CUSUM!F96))</f>
        <v>64.967479674796607</v>
      </c>
      <c r="Z96" s="14">
        <v>74</v>
      </c>
      <c r="AA96" s="2">
        <f>MAX(0,AA95+($Z$126-Z96-CUSUM!F96))</f>
        <v>51.219512195122007</v>
      </c>
      <c r="AB96" s="14">
        <v>75</v>
      </c>
      <c r="AC96" s="2">
        <f>MAX(0,AC95+($AB$126-AB96-CUSUM!F96))</f>
        <v>32.813008130081144</v>
      </c>
      <c r="AD96" s="14">
        <v>78</v>
      </c>
      <c r="AE96" s="2">
        <f>MAX(0,AE95+($AD$126-AD96-CUSUM!F96))</f>
        <v>65.479674796748014</v>
      </c>
      <c r="AF96" s="14">
        <v>68</v>
      </c>
      <c r="AG96" s="2">
        <f>MAX(0,AG95+($AF$126-AF96-CUSUM!F96))</f>
        <v>143.01626016260175</v>
      </c>
      <c r="AH96" s="14">
        <v>72</v>
      </c>
      <c r="AI96" s="2">
        <f>MAX(0,AI95+($AH$126-AH96-CUSUM!F96))</f>
        <v>65.609756097561103</v>
      </c>
      <c r="AJ96" s="14">
        <v>82</v>
      </c>
      <c r="AK96" s="2">
        <f>MAX(0,AK95+($AJ$126-AJ96-CUSUM!F96))</f>
        <v>54.000000000000057</v>
      </c>
      <c r="AL96" s="14">
        <v>85</v>
      </c>
      <c r="AM96" s="2">
        <f>MAX(0,AM95+($AL$126-AL96-CUSUM!F96))</f>
        <v>59.918699186991773</v>
      </c>
      <c r="AN96" s="14">
        <v>66</v>
      </c>
      <c r="AO96" s="2">
        <f>MAX(0,AO95+($AN$126-AN96-CUSUM!F96))</f>
        <v>127.31707317073163</v>
      </c>
    </row>
    <row r="97" spans="1:41" x14ac:dyDescent="0.2">
      <c r="A97" s="8">
        <v>43741</v>
      </c>
      <c r="B97" s="14">
        <v>84</v>
      </c>
      <c r="C97" s="2">
        <f>MAX(0,C96+($B$126-B97-CUSUM!F97))</f>
        <v>105.0243902439025</v>
      </c>
      <c r="D97" s="14">
        <v>75</v>
      </c>
      <c r="E97" s="2">
        <f>MAX(0,E96+($D$126-D97-CUSUM!F97))</f>
        <v>94.097560975609724</v>
      </c>
      <c r="F97" s="14">
        <v>77</v>
      </c>
      <c r="G97" s="2">
        <f>MAX(0,G96+($F$126-F97-CUSUM!F97))</f>
        <v>45.16260162601634</v>
      </c>
      <c r="H97" s="14">
        <v>84</v>
      </c>
      <c r="I97" s="2">
        <f>MAX(0,I96+($H$126-H97-CUSUM!F97))</f>
        <v>104.43902439024393</v>
      </c>
      <c r="J97" s="14">
        <v>82</v>
      </c>
      <c r="K97" s="2">
        <f>MAX(0,K96+($J$126-J97-CUSUM!F97))</f>
        <v>182.07317073170728</v>
      </c>
      <c r="L97" s="14">
        <v>81</v>
      </c>
      <c r="M97" s="2">
        <f>MAX(0,M96+($L$126-L97-CUSUM!F97))</f>
        <v>77.528455284552791</v>
      </c>
      <c r="N97" s="14">
        <v>84</v>
      </c>
      <c r="O97" s="2">
        <f>MAX(0,O96+($N$126-N97-CUSUM!F97))</f>
        <v>74.36585365853648</v>
      </c>
      <c r="P97" s="14">
        <v>66</v>
      </c>
      <c r="Q97" s="2">
        <f>MAX(0,Q96+($P$126-P97-CUSUM!F97))</f>
        <v>88.430894308943209</v>
      </c>
      <c r="R97" s="14">
        <v>80</v>
      </c>
      <c r="S97" s="2">
        <f>MAX(0,S96+($R$126-R97-CUSUM!F97))</f>
        <v>70.869918699187025</v>
      </c>
      <c r="T97" s="14">
        <v>83</v>
      </c>
      <c r="U97" s="2">
        <f>MAX(0,U96+($T$126-T97-CUSUM!F97))</f>
        <v>0.86178861788619088</v>
      </c>
      <c r="V97" s="14">
        <v>82</v>
      </c>
      <c r="W97" s="2">
        <f>MAX(0,W96+($V$126-V97-CUSUM!F97))</f>
        <v>77.317073170731661</v>
      </c>
      <c r="X97" s="14">
        <v>77</v>
      </c>
      <c r="Y97" s="2">
        <f>MAX(0,Y96+($X$126-X97-CUSUM!F97))</f>
        <v>73.365853658536437</v>
      </c>
      <c r="Z97" s="14">
        <v>80</v>
      </c>
      <c r="AA97" s="2">
        <f>MAX(0,AA96+($Z$126-Z97-CUSUM!F97))</f>
        <v>53.73170731707323</v>
      </c>
      <c r="AB97" s="14">
        <v>76</v>
      </c>
      <c r="AC97" s="2">
        <f>MAX(0,AC96+($AB$126-AB97-CUSUM!F97))</f>
        <v>37.804878048780324</v>
      </c>
      <c r="AD97" s="14">
        <v>68</v>
      </c>
      <c r="AE97" s="2">
        <f>MAX(0,AE96+($AD$126-AD97-CUSUM!F97))</f>
        <v>84.691056910569159</v>
      </c>
      <c r="AF97" s="14">
        <v>75</v>
      </c>
      <c r="AG97" s="2">
        <f>MAX(0,AG96+($AF$126-AF97-CUSUM!F97))</f>
        <v>153.2926829268294</v>
      </c>
      <c r="AH97" s="14">
        <v>74</v>
      </c>
      <c r="AI97" s="2">
        <f>MAX(0,AI96+($AH$126-AH97-CUSUM!F97))</f>
        <v>76.260162601626149</v>
      </c>
      <c r="AJ97" s="14">
        <v>82</v>
      </c>
      <c r="AK97" s="2">
        <f>MAX(0,AK96+($AJ$126-AJ97-CUSUM!F97))</f>
        <v>53.666666666666728</v>
      </c>
      <c r="AL97" s="14">
        <v>78</v>
      </c>
      <c r="AM97" s="2">
        <f>MAX(0,AM96+($AL$126-AL97-CUSUM!F97))</f>
        <v>65.861788617886077</v>
      </c>
      <c r="AN97" s="14">
        <v>66</v>
      </c>
      <c r="AO97" s="2">
        <f>MAX(0,AO96+($AN$126-AN97-CUSUM!F97))</f>
        <v>144.61788617886171</v>
      </c>
    </row>
    <row r="98" spans="1:41" x14ac:dyDescent="0.2">
      <c r="A98" s="8">
        <v>43742</v>
      </c>
      <c r="B98" s="14">
        <v>70</v>
      </c>
      <c r="C98" s="2">
        <f>MAX(0,C97+($B$126-B98-CUSUM!F98))</f>
        <v>118.73983739837405</v>
      </c>
      <c r="D98" s="14">
        <v>78</v>
      </c>
      <c r="E98" s="2">
        <f>MAX(0,E97+($D$126-D98-CUSUM!F98))</f>
        <v>97.772357723577201</v>
      </c>
      <c r="F98" s="14">
        <v>82</v>
      </c>
      <c r="G98" s="2">
        <f>MAX(0,G97+($F$126-F98-CUSUM!F98))</f>
        <v>47.422764227642361</v>
      </c>
      <c r="H98" s="14">
        <v>71</v>
      </c>
      <c r="I98" s="2">
        <f>MAX(0,I97+($H$126-H98-CUSUM!F98))</f>
        <v>116.7967479674797</v>
      </c>
      <c r="J98" s="14">
        <v>81</v>
      </c>
      <c r="K98" s="2">
        <f>MAX(0,K97+($J$126-J98-CUSUM!F98))</f>
        <v>185.10569105691053</v>
      </c>
      <c r="L98" s="14">
        <v>80</v>
      </c>
      <c r="M98" s="2">
        <f>MAX(0,M97+($L$126-L98-CUSUM!F98))</f>
        <v>79.08130081300807</v>
      </c>
      <c r="N98" s="14">
        <v>82</v>
      </c>
      <c r="O98" s="2">
        <f>MAX(0,O97+($N$126-N98-CUSUM!F98))</f>
        <v>75.95121951219501</v>
      </c>
      <c r="P98" s="14">
        <v>77</v>
      </c>
      <c r="Q98" s="2">
        <f>MAX(0,Q97+($P$126-P98-CUSUM!F98))</f>
        <v>92.910569105691181</v>
      </c>
      <c r="R98" s="14">
        <v>81</v>
      </c>
      <c r="S98" s="2">
        <f>MAX(0,S97+($R$126-R98-CUSUM!F98))</f>
        <v>71.634146341463449</v>
      </c>
      <c r="T98" s="14">
        <v>85</v>
      </c>
      <c r="U98" s="2">
        <f>MAX(0,U97+($T$126-T98-CUSUM!F98))</f>
        <v>0</v>
      </c>
      <c r="V98" s="14">
        <v>84</v>
      </c>
      <c r="W98" s="2">
        <f>MAX(0,W97+($V$126-V98-CUSUM!F98))</f>
        <v>76.365853658536537</v>
      </c>
      <c r="X98" s="14">
        <v>80</v>
      </c>
      <c r="Y98" s="2">
        <f>MAX(0,Y97+($X$126-X98-CUSUM!F98))</f>
        <v>78.764227642276268</v>
      </c>
      <c r="Z98" s="14">
        <v>83</v>
      </c>
      <c r="AA98" s="2">
        <f>MAX(0,AA97+($Z$126-Z98-CUSUM!F98))</f>
        <v>53.243902439024453</v>
      </c>
      <c r="AB98" s="14">
        <v>74</v>
      </c>
      <c r="AC98" s="2">
        <f>MAX(0,AC97+($AB$126-AB98-CUSUM!F98))</f>
        <v>44.796747967479504</v>
      </c>
      <c r="AD98" s="14">
        <v>67</v>
      </c>
      <c r="AE98" s="2">
        <f>MAX(0,AE97+($AD$126-AD98-CUSUM!F98))</f>
        <v>104.9024390243903</v>
      </c>
      <c r="AF98" s="14">
        <v>80</v>
      </c>
      <c r="AG98" s="2">
        <f>MAX(0,AG97+($AF$126-AF98-CUSUM!F98))</f>
        <v>158.56910569105705</v>
      </c>
      <c r="AH98" s="14">
        <v>82</v>
      </c>
      <c r="AI98" s="2">
        <f>MAX(0,AI97+($AH$126-AH98-CUSUM!F98))</f>
        <v>78.910569105691195</v>
      </c>
      <c r="AJ98" s="14">
        <v>85</v>
      </c>
      <c r="AK98" s="2">
        <f>MAX(0,AK97+($AJ$126-AJ98-CUSUM!F98))</f>
        <v>50.3333333333334</v>
      </c>
      <c r="AL98" s="14">
        <v>65</v>
      </c>
      <c r="AM98" s="2">
        <f>MAX(0,AM97+($AL$126-AL98-CUSUM!F98))</f>
        <v>84.804878048780381</v>
      </c>
      <c r="AN98" s="14">
        <v>70</v>
      </c>
      <c r="AO98" s="2">
        <f>MAX(0,AO97+($AN$126-AN98-CUSUM!F98))</f>
        <v>157.91869918699177</v>
      </c>
    </row>
    <row r="99" spans="1:41" x14ac:dyDescent="0.2">
      <c r="A99" s="8">
        <v>43743</v>
      </c>
      <c r="B99" s="14">
        <v>66</v>
      </c>
      <c r="C99" s="2">
        <f>MAX(0,C98+($B$126-B99-CUSUM!F99))</f>
        <v>136.4552845528456</v>
      </c>
      <c r="D99" s="14">
        <v>81</v>
      </c>
      <c r="E99" s="2">
        <f>MAX(0,E98+($D$126-D99-CUSUM!F99))</f>
        <v>98.447154471544678</v>
      </c>
      <c r="F99" s="14">
        <v>82</v>
      </c>
      <c r="G99" s="2">
        <f>MAX(0,G98+($F$126-F99-CUSUM!F99))</f>
        <v>49.682926829268382</v>
      </c>
      <c r="H99" s="14">
        <v>73</v>
      </c>
      <c r="I99" s="2">
        <f>MAX(0,I98+($H$126-H99-CUSUM!F99))</f>
        <v>127.15447154471548</v>
      </c>
      <c r="J99" s="14">
        <v>82</v>
      </c>
      <c r="K99" s="2">
        <f>MAX(0,K98+($J$126-J99-CUSUM!F99))</f>
        <v>187.13821138211378</v>
      </c>
      <c r="L99" s="14">
        <v>79</v>
      </c>
      <c r="M99" s="2">
        <f>MAX(0,M98+($L$126-L99-CUSUM!F99))</f>
        <v>81.634146341463349</v>
      </c>
      <c r="N99" s="14">
        <v>87</v>
      </c>
      <c r="O99" s="2">
        <f>MAX(0,O98+($N$126-N99-CUSUM!F99))</f>
        <v>72.53658536585354</v>
      </c>
      <c r="P99" s="14">
        <v>78</v>
      </c>
      <c r="Q99" s="2">
        <f>MAX(0,Q98+($P$126-P99-CUSUM!F99))</f>
        <v>96.390243902439153</v>
      </c>
      <c r="R99" s="14">
        <v>80</v>
      </c>
      <c r="S99" s="2">
        <f>MAX(0,S98+($R$126-R99-CUSUM!F99))</f>
        <v>73.398373983739873</v>
      </c>
      <c r="T99" s="14">
        <v>81</v>
      </c>
      <c r="U99" s="2">
        <f>MAX(0,U98+($T$126-T99-CUSUM!F99))</f>
        <v>2.3577235772357739</v>
      </c>
      <c r="V99" s="14">
        <v>86</v>
      </c>
      <c r="W99" s="2">
        <f>MAX(0,W98+($V$126-V99-CUSUM!F99))</f>
        <v>73.414634146341413</v>
      </c>
      <c r="X99" s="14">
        <v>81</v>
      </c>
      <c r="Y99" s="2">
        <f>MAX(0,Y98+($X$126-X99-CUSUM!F99))</f>
        <v>83.162601626016098</v>
      </c>
      <c r="Z99" s="14">
        <v>83</v>
      </c>
      <c r="AA99" s="2">
        <f>MAX(0,AA98+($Z$126-Z99-CUSUM!F99))</f>
        <v>52.756097560975675</v>
      </c>
      <c r="AB99" s="14">
        <v>62</v>
      </c>
      <c r="AC99" s="2">
        <f>MAX(0,AC98+($AB$126-AB99-CUSUM!F99))</f>
        <v>63.788617886178685</v>
      </c>
      <c r="AD99" s="14">
        <v>70</v>
      </c>
      <c r="AE99" s="2">
        <f>MAX(0,AE98+($AD$126-AD99-CUSUM!F99))</f>
        <v>122.11382113821145</v>
      </c>
      <c r="AF99" s="14">
        <v>83</v>
      </c>
      <c r="AG99" s="2">
        <f>MAX(0,AG98+($AF$126-AF99-CUSUM!F99))</f>
        <v>160.84552845528469</v>
      </c>
      <c r="AH99" s="14">
        <v>82</v>
      </c>
      <c r="AI99" s="2">
        <f>MAX(0,AI98+($AH$126-AH99-CUSUM!F99))</f>
        <v>81.560975609756241</v>
      </c>
      <c r="AJ99" s="14">
        <v>84</v>
      </c>
      <c r="AK99" s="2">
        <f>MAX(0,AK98+($AJ$126-AJ99-CUSUM!F99))</f>
        <v>48.000000000000071</v>
      </c>
      <c r="AL99" s="14">
        <v>71</v>
      </c>
      <c r="AM99" s="2">
        <f>MAX(0,AM98+($AL$126-AL99-CUSUM!F99))</f>
        <v>97.747967479674685</v>
      </c>
      <c r="AN99" s="14">
        <v>73</v>
      </c>
      <c r="AO99" s="2">
        <f>MAX(0,AO98+($AN$126-AN99-CUSUM!F99))</f>
        <v>168.21951219512187</v>
      </c>
    </row>
    <row r="100" spans="1:41" x14ac:dyDescent="0.2">
      <c r="A100" s="8">
        <v>43744</v>
      </c>
      <c r="B100" s="14">
        <v>64</v>
      </c>
      <c r="C100" s="2">
        <f>MAX(0,C99+($B$126-B100-CUSUM!F100))</f>
        <v>156.17073170731715</v>
      </c>
      <c r="D100" s="14">
        <v>82</v>
      </c>
      <c r="E100" s="2">
        <f>MAX(0,E99+($D$126-D100-CUSUM!F100))</f>
        <v>98.121951219512155</v>
      </c>
      <c r="F100" s="14">
        <v>73</v>
      </c>
      <c r="G100" s="2">
        <f>MAX(0,G99+($F$126-F100-CUSUM!F100))</f>
        <v>60.943089430894403</v>
      </c>
      <c r="H100" s="14">
        <v>71</v>
      </c>
      <c r="I100" s="2">
        <f>MAX(0,I99+($H$126-H100-CUSUM!F100))</f>
        <v>139.51219512195127</v>
      </c>
      <c r="J100" s="14">
        <v>73</v>
      </c>
      <c r="K100" s="2">
        <f>MAX(0,K99+($J$126-J100-CUSUM!F100))</f>
        <v>198.17073170731703</v>
      </c>
      <c r="L100" s="14">
        <v>70</v>
      </c>
      <c r="M100" s="2">
        <f>MAX(0,M99+($L$126-L100-CUSUM!F100))</f>
        <v>93.186991869918629</v>
      </c>
      <c r="N100" s="14">
        <v>86</v>
      </c>
      <c r="O100" s="2">
        <f>MAX(0,O99+($N$126-N100-CUSUM!F100))</f>
        <v>70.12195121951207</v>
      </c>
      <c r="P100" s="14">
        <v>75</v>
      </c>
      <c r="Q100" s="2">
        <f>MAX(0,Q99+($P$126-P100-CUSUM!F100))</f>
        <v>102.86991869918712</v>
      </c>
      <c r="R100" s="14">
        <v>75</v>
      </c>
      <c r="S100" s="2">
        <f>MAX(0,S99+($R$126-R100-CUSUM!F100))</f>
        <v>80.162601626016297</v>
      </c>
      <c r="T100" s="14">
        <v>72</v>
      </c>
      <c r="U100" s="2">
        <f>MAX(0,U99+($T$126-T100-CUSUM!F100))</f>
        <v>13.715447154471548</v>
      </c>
      <c r="V100" s="14">
        <v>76</v>
      </c>
      <c r="W100" s="2">
        <f>MAX(0,W99+($V$126-V100-CUSUM!F100))</f>
        <v>80.463414634146289</v>
      </c>
      <c r="X100" s="14">
        <v>82</v>
      </c>
      <c r="Y100" s="2">
        <f>MAX(0,Y99+($X$126-X100-CUSUM!F100))</f>
        <v>86.560975609755928</v>
      </c>
      <c r="Z100" s="14">
        <v>82</v>
      </c>
      <c r="AA100" s="2">
        <f>MAX(0,AA99+($Z$126-Z100-CUSUM!F100))</f>
        <v>53.268292682926898</v>
      </c>
      <c r="AB100" s="14">
        <v>71</v>
      </c>
      <c r="AC100" s="2">
        <f>MAX(0,AC99+($AB$126-AB100-CUSUM!F100))</f>
        <v>73.780487804877865</v>
      </c>
      <c r="AD100" s="14">
        <v>73</v>
      </c>
      <c r="AE100" s="2">
        <f>MAX(0,AE99+($AD$126-AD100-CUSUM!F100))</f>
        <v>136.32520325203259</v>
      </c>
      <c r="AF100" s="14">
        <v>81</v>
      </c>
      <c r="AG100" s="2">
        <f>MAX(0,AG99+($AF$126-AF100-CUSUM!F100))</f>
        <v>165.12195121951234</v>
      </c>
      <c r="AH100" s="14">
        <v>83</v>
      </c>
      <c r="AI100" s="2">
        <f>MAX(0,AI99+($AH$126-AH100-CUSUM!F100))</f>
        <v>83.211382113821287</v>
      </c>
      <c r="AJ100" s="14">
        <v>84</v>
      </c>
      <c r="AK100" s="2">
        <f>MAX(0,AK99+($AJ$126-AJ100-CUSUM!F100))</f>
        <v>45.666666666666742</v>
      </c>
      <c r="AL100" s="14">
        <v>78</v>
      </c>
      <c r="AM100" s="2">
        <f>MAX(0,AM99+($AL$126-AL100-CUSUM!F100))</f>
        <v>103.69105691056899</v>
      </c>
      <c r="AN100" s="14">
        <v>76</v>
      </c>
      <c r="AO100" s="2">
        <f>MAX(0,AO99+($AN$126-AN100-CUSUM!F100))</f>
        <v>175.52032520325196</v>
      </c>
    </row>
    <row r="101" spans="1:41" x14ac:dyDescent="0.2">
      <c r="A101" s="8">
        <v>43745</v>
      </c>
      <c r="B101" s="14">
        <v>60</v>
      </c>
      <c r="C101" s="2">
        <f>MAX(0,C100+($B$126-B101-CUSUM!F101))</f>
        <v>179.88617886178869</v>
      </c>
      <c r="D101" s="14">
        <v>82</v>
      </c>
      <c r="E101" s="2">
        <f>MAX(0,E100+($D$126-D101-CUSUM!F101))</f>
        <v>97.796747967479632</v>
      </c>
      <c r="F101" s="14">
        <v>82</v>
      </c>
      <c r="G101" s="2">
        <f>MAX(0,G100+($F$126-F101-CUSUM!F101))</f>
        <v>63.203252032520425</v>
      </c>
      <c r="H101" s="14">
        <v>73</v>
      </c>
      <c r="I101" s="2">
        <f>MAX(0,I100+($H$126-H101-CUSUM!F101))</f>
        <v>149.86991869918705</v>
      </c>
      <c r="J101" s="14">
        <v>66</v>
      </c>
      <c r="K101" s="2">
        <f>MAX(0,K100+($J$126-J101-CUSUM!F101))</f>
        <v>216.20325203252028</v>
      </c>
      <c r="L101" s="14">
        <v>68</v>
      </c>
      <c r="M101" s="2">
        <f>MAX(0,M100+($L$126-L101-CUSUM!F101))</f>
        <v>106.73983739837391</v>
      </c>
      <c r="N101" s="14">
        <v>80</v>
      </c>
      <c r="O101" s="2">
        <f>MAX(0,O100+($N$126-N101-CUSUM!F101))</f>
        <v>73.7073170731706</v>
      </c>
      <c r="P101" s="14">
        <v>73</v>
      </c>
      <c r="Q101" s="2">
        <f>MAX(0,Q100+($P$126-P101-CUSUM!F101))</f>
        <v>111.3495934959351</v>
      </c>
      <c r="R101" s="14">
        <v>75</v>
      </c>
      <c r="S101" s="2">
        <f>MAX(0,S100+($R$126-R101-CUSUM!F101))</f>
        <v>86.926829268292721</v>
      </c>
      <c r="T101" s="14">
        <v>72</v>
      </c>
      <c r="U101" s="9">
        <f>MAX(0,U100+($T$126-T101-CUSUM!F101))</f>
        <v>25.073170731707322</v>
      </c>
      <c r="V101" s="14">
        <v>72</v>
      </c>
      <c r="W101" s="2">
        <f>MAX(0,W100+($V$126-V101-CUSUM!F101))</f>
        <v>91.512195121951166</v>
      </c>
      <c r="X101" s="14">
        <v>83</v>
      </c>
      <c r="Y101" s="2">
        <f>MAX(0,Y100+($X$126-X101-CUSUM!F101))</f>
        <v>88.959349593495759</v>
      </c>
      <c r="Z101" s="14">
        <v>82</v>
      </c>
      <c r="AA101" s="2">
        <f>MAX(0,AA100+($Z$126-Z101-CUSUM!F101))</f>
        <v>53.780487804878121</v>
      </c>
      <c r="AB101" s="14">
        <v>79</v>
      </c>
      <c r="AC101" s="2">
        <f>MAX(0,AC100+($AB$126-AB101-CUSUM!F101))</f>
        <v>75.772357723577045</v>
      </c>
      <c r="AD101" s="14">
        <v>81</v>
      </c>
      <c r="AE101" s="2">
        <f>MAX(0,AE100+($AD$126-AD101-CUSUM!F101))</f>
        <v>142.53658536585374</v>
      </c>
      <c r="AF101" s="14">
        <v>79</v>
      </c>
      <c r="AG101" s="2">
        <f>MAX(0,AG100+($AF$126-AF101-CUSUM!F101))</f>
        <v>171.39837398373999</v>
      </c>
      <c r="AH101" s="14">
        <v>68</v>
      </c>
      <c r="AI101" s="2">
        <f>MAX(0,AI100+($AH$126-AH101-CUSUM!F101))</f>
        <v>99.861788617886333</v>
      </c>
      <c r="AJ101" s="14">
        <v>74</v>
      </c>
      <c r="AK101" s="2">
        <f>MAX(0,AK100+($AJ$126-AJ101-CUSUM!F101))</f>
        <v>53.333333333333414</v>
      </c>
      <c r="AL101" s="14">
        <v>82</v>
      </c>
      <c r="AM101" s="2">
        <f>MAX(0,AM100+($AL$126-AL101-CUSUM!F101))</f>
        <v>105.63414634146329</v>
      </c>
      <c r="AN101" s="14">
        <v>81</v>
      </c>
      <c r="AO101" s="2">
        <f>MAX(0,AO100+($AN$126-AN101-CUSUM!F101))</f>
        <v>177.82113821138205</v>
      </c>
    </row>
    <row r="102" spans="1:41" x14ac:dyDescent="0.2">
      <c r="A102" s="8">
        <v>43746</v>
      </c>
      <c r="B102" s="14">
        <v>78</v>
      </c>
      <c r="C102" s="2">
        <f>MAX(0,C101+($B$126-B102-CUSUM!F102))</f>
        <v>185.60162601626024</v>
      </c>
      <c r="D102" s="14">
        <v>82</v>
      </c>
      <c r="E102" s="2">
        <f>MAX(0,E101+($D$126-D102-CUSUM!F102))</f>
        <v>97.471544715447109</v>
      </c>
      <c r="F102" s="14">
        <v>69</v>
      </c>
      <c r="G102" s="2">
        <f>MAX(0,G101+($F$126-F102-CUSUM!F102))</f>
        <v>78.463414634146446</v>
      </c>
      <c r="H102" s="14">
        <v>73</v>
      </c>
      <c r="I102" s="2">
        <f>MAX(0,I101+($H$126-H102-CUSUM!F102))</f>
        <v>160.22764227642284</v>
      </c>
      <c r="J102" s="14">
        <v>55</v>
      </c>
      <c r="K102" s="2">
        <f>MAX(0,K101+($J$126-J102-CUSUM!F102))</f>
        <v>245.23577235772353</v>
      </c>
      <c r="L102" s="14">
        <v>79</v>
      </c>
      <c r="M102" s="2">
        <f>MAX(0,M101+($L$126-L102-CUSUM!F102))</f>
        <v>109.29268292682919</v>
      </c>
      <c r="N102" s="14">
        <v>71</v>
      </c>
      <c r="O102" s="2">
        <f>MAX(0,O101+($N$126-N102-CUSUM!F102))</f>
        <v>86.29268292682913</v>
      </c>
      <c r="P102" s="14">
        <v>73</v>
      </c>
      <c r="Q102" s="2">
        <f>MAX(0,Q101+($P$126-P102-CUSUM!F102))</f>
        <v>119.82926829268307</v>
      </c>
      <c r="R102" s="14">
        <v>73</v>
      </c>
      <c r="S102" s="2">
        <f>MAX(0,S101+($R$126-R102-CUSUM!F102))</f>
        <v>95.691056910569145</v>
      </c>
      <c r="T102" s="14">
        <v>73</v>
      </c>
      <c r="U102" s="2">
        <f>MAX(0,U101+($T$126-T102-CUSUM!F102))</f>
        <v>35.430894308943095</v>
      </c>
      <c r="V102" s="14">
        <v>72</v>
      </c>
      <c r="W102" s="2">
        <f>MAX(0,W101+($V$126-V102-CUSUM!F102))</f>
        <v>102.56097560975604</v>
      </c>
      <c r="X102" s="14">
        <v>83</v>
      </c>
      <c r="Y102" s="2">
        <f>MAX(0,Y101+($X$126-X102-CUSUM!F102))</f>
        <v>91.357723577235589</v>
      </c>
      <c r="Z102" s="14">
        <v>72</v>
      </c>
      <c r="AA102" s="2">
        <f>MAX(0,AA101+($Z$126-Z102-CUSUM!F102))</f>
        <v>64.292682926829343</v>
      </c>
      <c r="AB102" s="14">
        <v>80</v>
      </c>
      <c r="AC102" s="2">
        <f>MAX(0,AC101+($AB$126-AB102-CUSUM!F102))</f>
        <v>76.764227642276225</v>
      </c>
      <c r="AD102" s="14">
        <v>82</v>
      </c>
      <c r="AE102" s="2">
        <f>MAX(0,AE101+($AD$126-AD102-CUSUM!F102))</f>
        <v>147.74796747967488</v>
      </c>
      <c r="AF102" s="14">
        <v>78</v>
      </c>
      <c r="AG102" s="2">
        <f>MAX(0,AG101+($AF$126-AF102-CUSUM!F102))</f>
        <v>178.67479674796763</v>
      </c>
      <c r="AH102" s="14">
        <v>63</v>
      </c>
      <c r="AI102" s="2">
        <f>MAX(0,AI101+($AH$126-AH102-CUSUM!F102))</f>
        <v>121.51219512195138</v>
      </c>
      <c r="AJ102" s="14">
        <v>72</v>
      </c>
      <c r="AK102" s="2">
        <f>MAX(0,AK101+($AJ$126-AJ102-CUSUM!F102))</f>
        <v>63.000000000000085</v>
      </c>
      <c r="AL102" s="14">
        <v>86</v>
      </c>
      <c r="AM102" s="2">
        <f>MAX(0,AM101+($AL$126-AL102-CUSUM!F102))</f>
        <v>103.5772357723576</v>
      </c>
      <c r="AN102" s="14">
        <v>82</v>
      </c>
      <c r="AO102" s="2">
        <f>MAX(0,AO101+($AN$126-AN102-CUSUM!F102))</f>
        <v>179.12195121951214</v>
      </c>
    </row>
    <row r="103" spans="1:41" x14ac:dyDescent="0.2">
      <c r="A103" s="8">
        <v>43747</v>
      </c>
      <c r="B103" s="14">
        <v>70</v>
      </c>
      <c r="C103" s="2">
        <f>MAX(0,C102+($B$126-B103-CUSUM!F103))</f>
        <v>199.31707317073179</v>
      </c>
      <c r="D103" s="14">
        <v>80</v>
      </c>
      <c r="E103" s="2">
        <f>MAX(0,E102+($D$126-D103-CUSUM!F103))</f>
        <v>99.146341463414586</v>
      </c>
      <c r="F103" s="14">
        <v>72</v>
      </c>
      <c r="G103" s="2">
        <f>MAX(0,G102+($F$126-F103-CUSUM!F103))</f>
        <v>90.723577235772467</v>
      </c>
      <c r="H103" s="14">
        <v>72</v>
      </c>
      <c r="I103" s="2">
        <f>MAX(0,I102+($H$126-H103-CUSUM!F103))</f>
        <v>171.58536585365863</v>
      </c>
      <c r="J103" s="14">
        <v>55</v>
      </c>
      <c r="K103" s="2">
        <f>MAX(0,K102+($J$126-J103-CUSUM!F103))</f>
        <v>274.26829268292681</v>
      </c>
      <c r="L103" s="14">
        <v>66</v>
      </c>
      <c r="M103" s="2">
        <f>MAX(0,M102+($L$126-L103-CUSUM!F103))</f>
        <v>124.84552845528447</v>
      </c>
      <c r="N103" s="14">
        <v>66</v>
      </c>
      <c r="O103" s="2">
        <f>MAX(0,O102+($N$126-N103-CUSUM!F103))</f>
        <v>103.87804878048766</v>
      </c>
      <c r="P103" s="14">
        <v>73</v>
      </c>
      <c r="Q103" s="2">
        <f>MAX(0,Q102+($P$126-P103-CUSUM!F103))</f>
        <v>128.30894308943104</v>
      </c>
      <c r="R103" s="14">
        <v>71</v>
      </c>
      <c r="S103" s="2">
        <f>MAX(0,S102+($R$126-R103-CUSUM!F103))</f>
        <v>106.45528455284557</v>
      </c>
      <c r="T103" s="14">
        <v>70</v>
      </c>
      <c r="U103" s="2">
        <f>MAX(0,U102+($T$126-T103-CUSUM!F103))</f>
        <v>48.788617886178869</v>
      </c>
      <c r="V103" s="14">
        <v>79</v>
      </c>
      <c r="W103" s="2">
        <f>MAX(0,W102+($V$126-V103-CUSUM!F103))</f>
        <v>106.60975609756092</v>
      </c>
      <c r="X103" s="14">
        <v>81</v>
      </c>
      <c r="Y103" s="2">
        <f>MAX(0,Y102+($X$126-X103-CUSUM!F103))</f>
        <v>95.756097560975419</v>
      </c>
      <c r="Z103" s="14">
        <v>75</v>
      </c>
      <c r="AA103" s="2">
        <f>MAX(0,AA102+($Z$126-Z103-CUSUM!F103))</f>
        <v>71.804878048780566</v>
      </c>
      <c r="AB103" s="14">
        <v>85</v>
      </c>
      <c r="AC103" s="2">
        <f>MAX(0,AC102+($AB$126-AB103-CUSUM!F103))</f>
        <v>72.756097560975405</v>
      </c>
      <c r="AD103" s="14">
        <v>85</v>
      </c>
      <c r="AE103" s="2">
        <f>MAX(0,AE102+($AD$126-AD103-CUSUM!F103))</f>
        <v>149.95934959349603</v>
      </c>
      <c r="AF103" s="14">
        <v>72</v>
      </c>
      <c r="AG103" s="2">
        <f>MAX(0,AG102+($AF$126-AF103-CUSUM!F103))</f>
        <v>191.95121951219528</v>
      </c>
      <c r="AH103" s="14">
        <v>70</v>
      </c>
      <c r="AI103" s="2">
        <f>MAX(0,AI102+($AH$126-AH103-CUSUM!F103))</f>
        <v>136.16260162601642</v>
      </c>
      <c r="AJ103" s="14">
        <v>76</v>
      </c>
      <c r="AK103" s="2">
        <f>MAX(0,AK102+($AJ$126-AJ103-CUSUM!F103))</f>
        <v>68.666666666666757</v>
      </c>
      <c r="AL103" s="14">
        <v>86</v>
      </c>
      <c r="AM103" s="2">
        <f>MAX(0,AM102+($AL$126-AL103-CUSUM!F103))</f>
        <v>101.5203252032519</v>
      </c>
      <c r="AN103" s="14">
        <v>81</v>
      </c>
      <c r="AO103" s="2">
        <f>MAX(0,AO102+($AN$126-AN103-CUSUM!F103))</f>
        <v>181.42276422764223</v>
      </c>
    </row>
    <row r="104" spans="1:41" x14ac:dyDescent="0.2">
      <c r="A104" s="8">
        <v>43748</v>
      </c>
      <c r="B104" s="14">
        <v>72</v>
      </c>
      <c r="C104" s="2">
        <f>MAX(0,C103+($B$126-B104-CUSUM!F104))</f>
        <v>211.03252032520334</v>
      </c>
      <c r="D104" s="14">
        <v>82</v>
      </c>
      <c r="E104" s="2">
        <f>MAX(0,E103+($D$126-D104-CUSUM!F104))</f>
        <v>98.821138211382063</v>
      </c>
      <c r="F104" s="14">
        <v>73</v>
      </c>
      <c r="G104" s="2">
        <f>MAX(0,G103+($F$126-F104-CUSUM!F104))</f>
        <v>101.98373983739849</v>
      </c>
      <c r="H104" s="14">
        <v>72</v>
      </c>
      <c r="I104" s="2">
        <f>MAX(0,I103+($H$126-H104-CUSUM!F104))</f>
        <v>182.94308943089442</v>
      </c>
      <c r="J104" s="14">
        <v>64</v>
      </c>
      <c r="K104" s="2">
        <f>MAX(0,K103+($J$126-J104-CUSUM!F104))</f>
        <v>294.30081300813004</v>
      </c>
      <c r="L104" s="14">
        <v>73</v>
      </c>
      <c r="M104" s="2">
        <f>MAX(0,M103+($L$126-L104-CUSUM!F104))</f>
        <v>133.39837398373976</v>
      </c>
      <c r="N104" s="14">
        <v>70</v>
      </c>
      <c r="O104" s="2">
        <f>MAX(0,O103+($N$126-N104-CUSUM!F104))</f>
        <v>117.46341463414619</v>
      </c>
      <c r="P104" s="14">
        <v>73</v>
      </c>
      <c r="Q104" s="2">
        <f>MAX(0,Q103+($P$126-P104-CUSUM!F104))</f>
        <v>136.788617886179</v>
      </c>
      <c r="R104" s="14">
        <v>71</v>
      </c>
      <c r="S104" s="2">
        <f>MAX(0,S103+($R$126-R104-CUSUM!F104))</f>
        <v>117.21951219512199</v>
      </c>
      <c r="T104" s="14">
        <v>77</v>
      </c>
      <c r="U104" s="2">
        <f>MAX(0,U103+($T$126-T104-CUSUM!F104))</f>
        <v>55.146341463414643</v>
      </c>
      <c r="V104" s="14">
        <v>80</v>
      </c>
      <c r="W104" s="2">
        <f>MAX(0,W103+($V$126-V104-CUSUM!F104))</f>
        <v>109.65853658536579</v>
      </c>
      <c r="X104" s="14">
        <v>81</v>
      </c>
      <c r="Y104" s="2">
        <f>MAX(0,Y103+($X$126-X104-CUSUM!F104))</f>
        <v>100.15447154471525</v>
      </c>
      <c r="Z104" s="14">
        <v>77</v>
      </c>
      <c r="AA104" s="2">
        <f>MAX(0,AA103+($Z$126-Z104-CUSUM!F104))</f>
        <v>77.317073170731788</v>
      </c>
      <c r="AB104" s="14">
        <v>74</v>
      </c>
      <c r="AC104" s="2">
        <f>MAX(0,AC103+($AB$126-AB104-CUSUM!F104))</f>
        <v>79.747967479674585</v>
      </c>
      <c r="AD104" s="14">
        <v>86</v>
      </c>
      <c r="AE104" s="2">
        <f>MAX(0,AE103+($AD$126-AD104-CUSUM!F104))</f>
        <v>151.17073170731717</v>
      </c>
      <c r="AF104" s="14">
        <v>68</v>
      </c>
      <c r="AG104" s="2">
        <f>MAX(0,AG103+($AF$126-AF104-CUSUM!F104))</f>
        <v>209.22764227642293</v>
      </c>
      <c r="AH104" s="14">
        <v>73</v>
      </c>
      <c r="AI104" s="2">
        <f>MAX(0,AI103+($AH$126-AH104-CUSUM!F104))</f>
        <v>147.81300813008147</v>
      </c>
      <c r="AJ104" s="14">
        <v>80</v>
      </c>
      <c r="AK104" s="2">
        <f>MAX(0,AK103+($AJ$126-AJ104-CUSUM!F104))</f>
        <v>70.333333333333428</v>
      </c>
      <c r="AL104" s="14">
        <v>86</v>
      </c>
      <c r="AM104" s="2">
        <f>MAX(0,AM103+($AL$126-AL104-CUSUM!F104))</f>
        <v>99.463414634146204</v>
      </c>
      <c r="AN104" s="14">
        <v>71</v>
      </c>
      <c r="AO104" s="2">
        <f>MAX(0,AO103+($AN$126-AN104-CUSUM!F104))</f>
        <v>193.72357723577232</v>
      </c>
    </row>
    <row r="105" spans="1:41" x14ac:dyDescent="0.2">
      <c r="A105" s="8">
        <v>43749</v>
      </c>
      <c r="B105" s="14">
        <v>69</v>
      </c>
      <c r="C105" s="2">
        <f>MAX(0,C104+($B$126-B105-CUSUM!F105))</f>
        <v>225.74796747967488</v>
      </c>
      <c r="D105" s="14">
        <v>82</v>
      </c>
      <c r="E105" s="2">
        <f>MAX(0,E104+($D$126-D105-CUSUM!F105))</f>
        <v>98.49593495934954</v>
      </c>
      <c r="F105" s="14">
        <v>78</v>
      </c>
      <c r="G105" s="2">
        <f>MAX(0,G104+($F$126-F105-CUSUM!F105))</f>
        <v>108.24390243902451</v>
      </c>
      <c r="H105" s="14">
        <v>73</v>
      </c>
      <c r="I105" s="2">
        <f>MAX(0,I104+($H$126-H105-CUSUM!F105))</f>
        <v>193.30081300813021</v>
      </c>
      <c r="J105" s="14">
        <v>71</v>
      </c>
      <c r="K105" s="2">
        <f>MAX(0,K104+($J$126-J105-CUSUM!F105))</f>
        <v>307.33333333333326</v>
      </c>
      <c r="L105" s="14">
        <v>75</v>
      </c>
      <c r="M105" s="2">
        <f>MAX(0,M104+($L$126-L105-CUSUM!F105))</f>
        <v>139.95121951219505</v>
      </c>
      <c r="N105" s="14">
        <v>78</v>
      </c>
      <c r="O105" s="2">
        <f>MAX(0,O104+($N$126-N105-CUSUM!F105))</f>
        <v>123.04878048780472</v>
      </c>
      <c r="P105" s="14">
        <v>66</v>
      </c>
      <c r="Q105" s="2">
        <f>MAX(0,Q104+($P$126-P105-CUSUM!F105))</f>
        <v>152.26829268292698</v>
      </c>
      <c r="R105" s="14">
        <v>77</v>
      </c>
      <c r="S105" s="2">
        <f>MAX(0,S104+($R$126-R105-CUSUM!F105))</f>
        <v>121.98373983739842</v>
      </c>
      <c r="T105" s="14">
        <v>82</v>
      </c>
      <c r="U105" s="2">
        <f>MAX(0,U104+($T$126-T105-CUSUM!F105))</f>
        <v>56.504065040650417</v>
      </c>
      <c r="V105" s="14">
        <v>80</v>
      </c>
      <c r="W105" s="2">
        <f>MAX(0,W104+($V$126-V105-CUSUM!F105))</f>
        <v>112.70731707317067</v>
      </c>
      <c r="X105" s="14">
        <v>67</v>
      </c>
      <c r="Y105" s="2">
        <f>MAX(0,Y104+($X$126-X105-CUSUM!F105))</f>
        <v>118.55284552845508</v>
      </c>
      <c r="Z105" s="14">
        <v>78</v>
      </c>
      <c r="AA105" s="2">
        <f>MAX(0,AA104+($Z$126-Z105-CUSUM!F105))</f>
        <v>81.829268292683011</v>
      </c>
      <c r="AB105" s="14">
        <v>77</v>
      </c>
      <c r="AC105" s="2">
        <f>MAX(0,AC104+($AB$126-AB105-CUSUM!F105))</f>
        <v>83.739837398373766</v>
      </c>
      <c r="AD105" s="14">
        <v>86</v>
      </c>
      <c r="AE105" s="2">
        <f>MAX(0,AE104+($AD$126-AD105-CUSUM!F105))</f>
        <v>152.38211382113832</v>
      </c>
      <c r="AF105" s="14">
        <v>65</v>
      </c>
      <c r="AG105" s="2">
        <f>MAX(0,AG104+($AF$126-AF105-CUSUM!F105))</f>
        <v>229.50406504065057</v>
      </c>
      <c r="AH105" s="14">
        <v>75</v>
      </c>
      <c r="AI105" s="2">
        <f>MAX(0,AI104+($AH$126-AH105-CUSUM!F105))</f>
        <v>157.46341463414652</v>
      </c>
      <c r="AJ105" s="14">
        <v>79</v>
      </c>
      <c r="AK105" s="2">
        <f>MAX(0,AK104+($AJ$126-AJ105-CUSUM!F105))</f>
        <v>73.000000000000099</v>
      </c>
      <c r="AL105" s="14">
        <v>86</v>
      </c>
      <c r="AM105" s="2">
        <f>MAX(0,AM104+($AL$126-AL105-CUSUM!F105))</f>
        <v>97.406504065040508</v>
      </c>
      <c r="AN105" s="14">
        <v>73</v>
      </c>
      <c r="AO105" s="2">
        <f>MAX(0,AO104+($AN$126-AN105-CUSUM!F105))</f>
        <v>204.02439024390242</v>
      </c>
    </row>
    <row r="106" spans="1:41" x14ac:dyDescent="0.2">
      <c r="A106" s="8">
        <v>43750</v>
      </c>
      <c r="B106" s="14">
        <v>69</v>
      </c>
      <c r="C106" s="2">
        <f>MAX(0,C105+($B$126-B106-CUSUM!F106))</f>
        <v>240.46341463414643</v>
      </c>
      <c r="D106" s="14">
        <v>79</v>
      </c>
      <c r="E106" s="2">
        <f>MAX(0,E105+($D$126-D106-CUSUM!F106))</f>
        <v>101.17073170731702</v>
      </c>
      <c r="F106" s="14">
        <v>78</v>
      </c>
      <c r="G106" s="2">
        <f>MAX(0,G105+($F$126-F106-CUSUM!F106))</f>
        <v>114.50406504065053</v>
      </c>
      <c r="H106" s="14">
        <v>70</v>
      </c>
      <c r="I106" s="2">
        <f>MAX(0,I105+($H$126-H106-CUSUM!F106))</f>
        <v>206.65853658536599</v>
      </c>
      <c r="J106" s="14">
        <v>73</v>
      </c>
      <c r="K106" s="2">
        <f>MAX(0,K105+($J$126-J106-CUSUM!F106))</f>
        <v>318.36585365853648</v>
      </c>
      <c r="L106" s="14">
        <v>78</v>
      </c>
      <c r="M106" s="2">
        <f>MAX(0,M105+($L$126-L106-CUSUM!F106))</f>
        <v>143.50406504065035</v>
      </c>
      <c r="N106" s="14">
        <v>84</v>
      </c>
      <c r="O106" s="2">
        <f>MAX(0,O105+($N$126-N106-CUSUM!F106))</f>
        <v>122.63414634146325</v>
      </c>
      <c r="P106" s="14">
        <v>78</v>
      </c>
      <c r="Q106" s="2">
        <f>MAX(0,Q105+($P$126-P106-CUSUM!F106))</f>
        <v>155.74796747967497</v>
      </c>
      <c r="R106" s="14">
        <v>73</v>
      </c>
      <c r="S106" s="2">
        <f>MAX(0,S105+($R$126-R106-CUSUM!F106))</f>
        <v>130.74796747967486</v>
      </c>
      <c r="T106" s="14">
        <v>74</v>
      </c>
      <c r="U106" s="2">
        <f>MAX(0,U105+($T$126-T106-CUSUM!F106))</f>
        <v>65.861788617886191</v>
      </c>
      <c r="V106" s="14">
        <v>71</v>
      </c>
      <c r="W106" s="2">
        <f>MAX(0,W105+($V$126-V106-CUSUM!F106))</f>
        <v>124.75609756097555</v>
      </c>
      <c r="X106" s="14">
        <v>72</v>
      </c>
      <c r="Y106" s="2">
        <f>MAX(0,Y105+($X$126-X106-CUSUM!F106))</f>
        <v>131.95121951219491</v>
      </c>
      <c r="Z106" s="14">
        <v>77</v>
      </c>
      <c r="AA106" s="2">
        <f>MAX(0,AA105+($Z$126-Z106-CUSUM!F106))</f>
        <v>87.341463414634234</v>
      </c>
      <c r="AB106" s="14">
        <v>66</v>
      </c>
      <c r="AC106" s="2">
        <f>MAX(0,AC105+($AB$126-AB106-CUSUM!F106))</f>
        <v>98.731707317072946</v>
      </c>
      <c r="AD106" s="14">
        <v>80</v>
      </c>
      <c r="AE106" s="2">
        <f>MAX(0,AE105+($AD$126-AD106-CUSUM!F106))</f>
        <v>159.59349593495946</v>
      </c>
      <c r="AF106" s="14">
        <v>73</v>
      </c>
      <c r="AG106" s="2">
        <f>MAX(0,AG105+($AF$126-AF106-CUSUM!F106))</f>
        <v>241.78048780487822</v>
      </c>
      <c r="AH106" s="14">
        <v>79</v>
      </c>
      <c r="AI106" s="2">
        <f>MAX(0,AI105+($AH$126-AH106-CUSUM!F106))</f>
        <v>163.11382113821156</v>
      </c>
      <c r="AJ106" s="14">
        <v>81</v>
      </c>
      <c r="AK106" s="2">
        <f>MAX(0,AK105+($AJ$126-AJ106-CUSUM!F106))</f>
        <v>73.666666666666771</v>
      </c>
      <c r="AL106" s="14">
        <v>85</v>
      </c>
      <c r="AM106" s="2">
        <f>MAX(0,AM105+($AL$126-AL106-CUSUM!F106))</f>
        <v>96.349593495934812</v>
      </c>
      <c r="AN106" s="14">
        <v>76</v>
      </c>
      <c r="AO106" s="2">
        <f>MAX(0,AO105+($AN$126-AN106-CUSUM!F106))</f>
        <v>211.32520325203251</v>
      </c>
    </row>
    <row r="107" spans="1:41" x14ac:dyDescent="0.2">
      <c r="A107" s="8">
        <v>43751</v>
      </c>
      <c r="B107" s="14">
        <v>73</v>
      </c>
      <c r="C107" s="2">
        <f>MAX(0,C106+($B$126-B107-CUSUM!F107))</f>
        <v>251.17886178861798</v>
      </c>
      <c r="D107" s="14">
        <v>80</v>
      </c>
      <c r="E107" s="2">
        <f>MAX(0,E106+($D$126-D107-CUSUM!F107))</f>
        <v>102.84552845528449</v>
      </c>
      <c r="F107" s="14">
        <v>78</v>
      </c>
      <c r="G107" s="2">
        <f>MAX(0,G106+($F$126-F107-CUSUM!F107))</f>
        <v>120.76422764227655</v>
      </c>
      <c r="H107" s="14">
        <v>64</v>
      </c>
      <c r="I107" s="2">
        <f>MAX(0,I106+($H$126-H107-CUSUM!F107))</f>
        <v>226.01626016260178</v>
      </c>
      <c r="J107" s="14">
        <v>75</v>
      </c>
      <c r="K107" s="2">
        <f>MAX(0,K106+($J$126-J107-CUSUM!F107))</f>
        <v>327.3983739837397</v>
      </c>
      <c r="L107" s="14">
        <v>78</v>
      </c>
      <c r="M107" s="2">
        <f>MAX(0,M106+($L$126-L107-CUSUM!F107))</f>
        <v>147.05691056910564</v>
      </c>
      <c r="N107" s="14">
        <v>79</v>
      </c>
      <c r="O107" s="2">
        <f>MAX(0,O106+($N$126-N107-CUSUM!F107))</f>
        <v>127.21951219512178</v>
      </c>
      <c r="P107" s="14">
        <v>78</v>
      </c>
      <c r="Q107" s="2">
        <f>MAX(0,Q106+($P$126-P107-CUSUM!F107))</f>
        <v>159.22764227642296</v>
      </c>
      <c r="R107" s="14">
        <v>64</v>
      </c>
      <c r="S107" s="2">
        <f>MAX(0,S106+($R$126-R107-CUSUM!F107))</f>
        <v>148.51219512195127</v>
      </c>
      <c r="T107" s="14">
        <v>77</v>
      </c>
      <c r="U107" s="2">
        <f>MAX(0,U106+($T$126-T107-CUSUM!F107))</f>
        <v>72.219512195121965</v>
      </c>
      <c r="V107" s="14">
        <v>62</v>
      </c>
      <c r="W107" s="2">
        <f>MAX(0,W106+($V$126-V107-CUSUM!F107))</f>
        <v>145.80487804878044</v>
      </c>
      <c r="X107" s="14">
        <v>74</v>
      </c>
      <c r="Y107" s="2">
        <f>MAX(0,Y106+($X$126-X107-CUSUM!F107))</f>
        <v>143.34959349593476</v>
      </c>
      <c r="Z107" s="14">
        <v>77</v>
      </c>
      <c r="AA107" s="2">
        <f>MAX(0,AA106+($Z$126-Z107-CUSUM!F107))</f>
        <v>92.853658536585456</v>
      </c>
      <c r="AB107" s="14">
        <v>73</v>
      </c>
      <c r="AC107" s="2">
        <f>MAX(0,AC106+($AB$126-AB107-CUSUM!F107))</f>
        <v>106.72357723577213</v>
      </c>
      <c r="AD107" s="14">
        <v>80</v>
      </c>
      <c r="AE107" s="2">
        <f>MAX(0,AE106+($AD$126-AD107-CUSUM!F107))</f>
        <v>166.80487804878061</v>
      </c>
      <c r="AF107" s="14">
        <v>74</v>
      </c>
      <c r="AG107" s="2">
        <f>MAX(0,AG106+($AF$126-AF107-CUSUM!F107))</f>
        <v>253.05691056910587</v>
      </c>
      <c r="AH107" s="14">
        <v>75</v>
      </c>
      <c r="AI107" s="2">
        <f>MAX(0,AI106+($AH$126-AH107-CUSUM!F107))</f>
        <v>172.76422764227661</v>
      </c>
      <c r="AJ107" s="14">
        <v>82</v>
      </c>
      <c r="AK107" s="2">
        <f>MAX(0,AK106+($AJ$126-AJ107-CUSUM!F107))</f>
        <v>73.333333333333442</v>
      </c>
      <c r="AL107" s="14">
        <v>85</v>
      </c>
      <c r="AM107" s="2">
        <f>MAX(0,AM106+($AL$126-AL107-CUSUM!F107))</f>
        <v>95.292682926829116</v>
      </c>
      <c r="AN107" s="14">
        <v>81</v>
      </c>
      <c r="AO107" s="2">
        <f>MAX(0,AO106+($AN$126-AN107-CUSUM!F107))</f>
        <v>213.6260162601626</v>
      </c>
    </row>
    <row r="108" spans="1:41" x14ac:dyDescent="0.2">
      <c r="A108" s="8">
        <v>43752</v>
      </c>
      <c r="B108" s="14">
        <v>79</v>
      </c>
      <c r="C108" s="2">
        <f>MAX(0,C107+($B$126-B108-CUSUM!F108))</f>
        <v>255.89430894308953</v>
      </c>
      <c r="D108" s="14">
        <v>68</v>
      </c>
      <c r="E108" s="2">
        <f>MAX(0,E107+($D$126-D108-CUSUM!F108))</f>
        <v>116.52032520325197</v>
      </c>
      <c r="F108" s="14">
        <v>75</v>
      </c>
      <c r="G108" s="2">
        <f>MAX(0,G107+($F$126-F108-CUSUM!F108))</f>
        <v>130.02439024390259</v>
      </c>
      <c r="H108" s="14">
        <v>75</v>
      </c>
      <c r="I108" s="2">
        <f>MAX(0,I107+($H$126-H108-CUSUM!F108))</f>
        <v>234.37398373983757</v>
      </c>
      <c r="J108" s="14">
        <v>75</v>
      </c>
      <c r="K108" s="2">
        <f>MAX(0,K107+($J$126-J108-CUSUM!F108))</f>
        <v>336.43089430894292</v>
      </c>
      <c r="L108" s="14">
        <v>75</v>
      </c>
      <c r="M108" s="2">
        <f>MAX(0,M107+($L$126-L108-CUSUM!F108))</f>
        <v>153.60975609756093</v>
      </c>
      <c r="N108" s="14">
        <v>68</v>
      </c>
      <c r="O108" s="2">
        <f>MAX(0,O107+($N$126-N108-CUSUM!F108))</f>
        <v>142.80487804878032</v>
      </c>
      <c r="P108" s="14">
        <v>78</v>
      </c>
      <c r="Q108" s="2">
        <f>MAX(0,Q107+($P$126-P108-CUSUM!F108))</f>
        <v>162.70731707317094</v>
      </c>
      <c r="R108" s="14">
        <v>63</v>
      </c>
      <c r="S108" s="2">
        <f>MAX(0,S107+($R$126-R108-CUSUM!F108))</f>
        <v>167.27642276422768</v>
      </c>
      <c r="T108" s="14">
        <v>78</v>
      </c>
      <c r="U108" s="2">
        <f>MAX(0,U107+($T$126-T108-CUSUM!F108))</f>
        <v>77.577235772357739</v>
      </c>
      <c r="V108" s="14">
        <v>69</v>
      </c>
      <c r="W108" s="2">
        <f>MAX(0,W107+($V$126-V108-CUSUM!F108))</f>
        <v>159.85365853658533</v>
      </c>
      <c r="X108" s="14">
        <v>78</v>
      </c>
      <c r="Y108" s="2">
        <f>MAX(0,Y107+($X$126-X108-CUSUM!F108))</f>
        <v>150.74796747967457</v>
      </c>
      <c r="Z108" s="14">
        <v>80</v>
      </c>
      <c r="AA108" s="2">
        <f>MAX(0,AA107+($Z$126-Z108-CUSUM!F108))</f>
        <v>95.365853658536679</v>
      </c>
      <c r="AB108" s="14">
        <v>66</v>
      </c>
      <c r="AC108" s="2">
        <f>MAX(0,AC107+($AB$126-AB108-CUSUM!F108))</f>
        <v>121.71544715447131</v>
      </c>
      <c r="AD108" s="14">
        <v>73</v>
      </c>
      <c r="AE108" s="2">
        <f>MAX(0,AE107+($AD$126-AD108-CUSUM!F108))</f>
        <v>181.01626016260175</v>
      </c>
      <c r="AF108" s="14">
        <v>77</v>
      </c>
      <c r="AG108" s="2">
        <f>MAX(0,AG107+($AF$126-AF108-CUSUM!F108))</f>
        <v>261.33333333333348</v>
      </c>
      <c r="AH108" s="14">
        <v>77</v>
      </c>
      <c r="AI108" s="2">
        <f>MAX(0,AI107+($AH$126-AH108-CUSUM!F108))</f>
        <v>180.41463414634165</v>
      </c>
      <c r="AJ108" s="14">
        <v>77</v>
      </c>
      <c r="AK108" s="2">
        <f>MAX(0,AK107+($AJ$126-AJ108-CUSUM!F108))</f>
        <v>78.000000000000114</v>
      </c>
      <c r="AL108" s="14">
        <v>75</v>
      </c>
      <c r="AM108" s="2">
        <f>MAX(0,AM107+($AL$126-AL108-CUSUM!F108))</f>
        <v>104.23577235772342</v>
      </c>
      <c r="AN108" s="14">
        <v>78</v>
      </c>
      <c r="AO108" s="2">
        <f>MAX(0,AO107+($AN$126-AN108-CUSUM!F108))</f>
        <v>218.92682926829269</v>
      </c>
    </row>
    <row r="109" spans="1:41" x14ac:dyDescent="0.2">
      <c r="A109" s="8">
        <v>43753</v>
      </c>
      <c r="B109" s="14">
        <v>81</v>
      </c>
      <c r="C109" s="2">
        <f>MAX(0,C108+($B$126-B109-CUSUM!F109))</f>
        <v>258.6097560975611</v>
      </c>
      <c r="D109" s="14">
        <v>63</v>
      </c>
      <c r="E109" s="2">
        <f>MAX(0,E108+($D$126-D109-CUSUM!F109))</f>
        <v>135.19512195121945</v>
      </c>
      <c r="F109" s="14">
        <v>79</v>
      </c>
      <c r="G109" s="2">
        <f>MAX(0,G108+($F$126-F109-CUSUM!F109))</f>
        <v>135.28455284552859</v>
      </c>
      <c r="H109" s="14">
        <v>73</v>
      </c>
      <c r="I109" s="2">
        <f>MAX(0,I108+($H$126-H109-CUSUM!F109))</f>
        <v>244.73170731707336</v>
      </c>
      <c r="J109" s="14">
        <v>77</v>
      </c>
      <c r="K109" s="2">
        <f>MAX(0,K108+($J$126-J109-CUSUM!F109))</f>
        <v>343.46341463414615</v>
      </c>
      <c r="L109" s="14">
        <v>75</v>
      </c>
      <c r="M109" s="2">
        <f>MAX(0,M108+($L$126-L109-CUSUM!F109))</f>
        <v>160.16260162601623</v>
      </c>
      <c r="N109" s="14">
        <v>57</v>
      </c>
      <c r="O109" s="2">
        <f>MAX(0,O108+($N$126-N109-CUSUM!F109))</f>
        <v>169.39024390243884</v>
      </c>
      <c r="P109" s="14">
        <v>69</v>
      </c>
      <c r="Q109" s="2">
        <f>MAX(0,Q108+($P$126-P109-CUSUM!F109))</f>
        <v>175.18699186991893</v>
      </c>
      <c r="R109" s="14">
        <v>62</v>
      </c>
      <c r="S109" s="2">
        <f>MAX(0,S108+($R$126-R109-CUSUM!F109))</f>
        <v>187.04065040650408</v>
      </c>
      <c r="T109" s="14">
        <v>79</v>
      </c>
      <c r="U109" s="2">
        <f>MAX(0,U108+($T$126-T109-CUSUM!F109))</f>
        <v>81.934959349593512</v>
      </c>
      <c r="V109" s="14">
        <v>70</v>
      </c>
      <c r="W109" s="2">
        <f>MAX(0,W108+($V$126-V109-CUSUM!F109))</f>
        <v>172.90243902439022</v>
      </c>
      <c r="X109" s="14">
        <v>78</v>
      </c>
      <c r="Y109" s="2">
        <f>MAX(0,Y108+($X$126-X109-CUSUM!F109))</f>
        <v>158.14634146341439</v>
      </c>
      <c r="Z109" s="14">
        <v>81</v>
      </c>
      <c r="AA109" s="2">
        <f>MAX(0,AA108+($Z$126-Z109-CUSUM!F109))</f>
        <v>96.878048780487902</v>
      </c>
      <c r="AB109" s="14">
        <v>61</v>
      </c>
      <c r="AC109" s="2">
        <f>MAX(0,AC108+($AB$126-AB109-CUSUM!F109))</f>
        <v>141.70731707317049</v>
      </c>
      <c r="AD109" s="14">
        <v>78</v>
      </c>
      <c r="AE109" s="2">
        <f>MAX(0,AE108+($AD$126-AD109-CUSUM!F109))</f>
        <v>190.2276422764229</v>
      </c>
      <c r="AF109" s="14">
        <v>80</v>
      </c>
      <c r="AG109" s="2">
        <f>MAX(0,AG108+($AF$126-AF109-CUSUM!F109))</f>
        <v>266.6097560975611</v>
      </c>
      <c r="AH109" s="14">
        <v>77</v>
      </c>
      <c r="AI109" s="2">
        <f>MAX(0,AI108+($AH$126-AH109-CUSUM!F109))</f>
        <v>188.0650406504067</v>
      </c>
      <c r="AJ109" s="14">
        <v>68</v>
      </c>
      <c r="AK109" s="2">
        <f>MAX(0,AK108+($AJ$126-AJ109-CUSUM!F109))</f>
        <v>91.666666666666785</v>
      </c>
      <c r="AL109" s="14">
        <v>69</v>
      </c>
      <c r="AM109" s="2">
        <f>MAX(0,AM108+($AL$126-AL109-CUSUM!F109))</f>
        <v>119.17886178861772</v>
      </c>
      <c r="AN109" s="14">
        <v>81</v>
      </c>
      <c r="AO109" s="2">
        <f>MAX(0,AO108+($AN$126-AN109-CUSUM!F109))</f>
        <v>221.22764227642278</v>
      </c>
    </row>
    <row r="110" spans="1:41" x14ac:dyDescent="0.2">
      <c r="A110" s="8">
        <v>43754</v>
      </c>
      <c r="B110" s="14">
        <v>80</v>
      </c>
      <c r="C110" s="2">
        <f>MAX(0,C109+($B$126-B110-CUSUM!F110))</f>
        <v>262.32520325203268</v>
      </c>
      <c r="D110" s="14">
        <v>57</v>
      </c>
      <c r="E110" s="2">
        <f>MAX(0,E109+($D$126-D110-CUSUM!F110))</f>
        <v>159.86991869918694</v>
      </c>
      <c r="F110" s="14">
        <v>78</v>
      </c>
      <c r="G110" s="2">
        <f>MAX(0,G109+($F$126-F110-CUSUM!F110))</f>
        <v>141.5447154471546</v>
      </c>
      <c r="H110" s="14">
        <v>77</v>
      </c>
      <c r="I110" s="2">
        <f>MAX(0,I109+($H$126-H110-CUSUM!F110))</f>
        <v>251.08943089430915</v>
      </c>
      <c r="J110" s="14">
        <v>80</v>
      </c>
      <c r="K110" s="2">
        <f>MAX(0,K109+($J$126-J110-CUSUM!F110))</f>
        <v>347.49593495934937</v>
      </c>
      <c r="L110" s="14">
        <v>62</v>
      </c>
      <c r="M110" s="2">
        <f>MAX(0,M109+($L$126-L110-CUSUM!F110))</f>
        <v>179.71544715447152</v>
      </c>
      <c r="N110" s="14">
        <v>66</v>
      </c>
      <c r="O110" s="2">
        <f>MAX(0,O109+($N$126-N110-CUSUM!F110))</f>
        <v>186.97560975609736</v>
      </c>
      <c r="P110" s="14">
        <v>72</v>
      </c>
      <c r="Q110" s="2">
        <f>MAX(0,Q109+($P$126-P110-CUSUM!F110))</f>
        <v>184.66666666666691</v>
      </c>
      <c r="R110" s="14">
        <v>71</v>
      </c>
      <c r="S110" s="2">
        <f>MAX(0,S109+($R$126-R110-CUSUM!F110))</f>
        <v>197.80487804878049</v>
      </c>
      <c r="T110" s="14">
        <v>76</v>
      </c>
      <c r="U110" s="2">
        <f>MAX(0,U109+($T$126-T110-CUSUM!F110))</f>
        <v>89.292682926829286</v>
      </c>
      <c r="V110" s="14">
        <v>59</v>
      </c>
      <c r="W110" s="2">
        <f>MAX(0,W109+($V$126-V110-CUSUM!F110))</f>
        <v>196.95121951219511</v>
      </c>
      <c r="X110" s="14">
        <v>76</v>
      </c>
      <c r="Y110" s="2">
        <f>MAX(0,Y109+($X$126-X110-CUSUM!F110))</f>
        <v>167.5447154471542</v>
      </c>
      <c r="Z110" s="14">
        <v>83</v>
      </c>
      <c r="AA110" s="2">
        <f>MAX(0,AA109+($Z$126-Z110-CUSUM!F110))</f>
        <v>96.390243902439124</v>
      </c>
      <c r="AB110" s="14">
        <v>61</v>
      </c>
      <c r="AC110" s="2">
        <f>MAX(0,AC109+($AB$126-AB110-CUSUM!F110))</f>
        <v>161.69918699186968</v>
      </c>
      <c r="AD110" s="14">
        <v>76</v>
      </c>
      <c r="AE110" s="2">
        <f>MAX(0,AE109+($AD$126-AD110-CUSUM!F110))</f>
        <v>201.43902439024404</v>
      </c>
      <c r="AF110" s="14">
        <v>84</v>
      </c>
      <c r="AG110" s="2">
        <f>MAX(0,AG109+($AF$126-AF110-CUSUM!F110))</f>
        <v>267.88617886178872</v>
      </c>
      <c r="AH110" s="14">
        <v>74</v>
      </c>
      <c r="AI110" s="2">
        <f>MAX(0,AI109+($AH$126-AH110-CUSUM!F110))</f>
        <v>198.71544715447175</v>
      </c>
      <c r="AJ110" s="14">
        <v>74</v>
      </c>
      <c r="AK110" s="2">
        <f>MAX(0,AK109+($AJ$126-AJ110-CUSUM!F110))</f>
        <v>99.333333333333456</v>
      </c>
      <c r="AL110" s="14">
        <v>70</v>
      </c>
      <c r="AM110" s="2">
        <f>MAX(0,AM109+($AL$126-AL110-CUSUM!F110))</f>
        <v>133.12195121951203</v>
      </c>
      <c r="AN110" s="14">
        <v>77</v>
      </c>
      <c r="AO110" s="2">
        <f>MAX(0,AO109+($AN$126-AN110-CUSUM!F110))</f>
        <v>227.52845528455288</v>
      </c>
    </row>
    <row r="111" spans="1:41" x14ac:dyDescent="0.2">
      <c r="A111" s="8">
        <v>43755</v>
      </c>
      <c r="B111" s="14">
        <v>82</v>
      </c>
      <c r="C111" s="2">
        <f>MAX(0,C110+($B$126-B111-CUSUM!F111))</f>
        <v>264.04065040650426</v>
      </c>
      <c r="D111" s="14">
        <v>66</v>
      </c>
      <c r="E111" s="2">
        <f>MAX(0,E110+($D$126-D111-CUSUM!F111))</f>
        <v>175.54471544715443</v>
      </c>
      <c r="F111" s="14">
        <v>77</v>
      </c>
      <c r="G111" s="2">
        <f>MAX(0,G110+($F$126-F111-CUSUM!F111))</f>
        <v>148.80487804878061</v>
      </c>
      <c r="H111" s="14">
        <v>80</v>
      </c>
      <c r="I111" s="2">
        <f>MAX(0,I110+($H$126-H111-CUSUM!F111))</f>
        <v>254.44715447154493</v>
      </c>
      <c r="J111" s="14">
        <v>80</v>
      </c>
      <c r="K111" s="2">
        <f>MAX(0,K110+($J$126-J111-CUSUM!F111))</f>
        <v>351.52845528455259</v>
      </c>
      <c r="L111" s="14">
        <v>60</v>
      </c>
      <c r="M111" s="2">
        <f>MAX(0,M110+($L$126-L111-CUSUM!F111))</f>
        <v>201.26829268292681</v>
      </c>
      <c r="N111" s="14">
        <v>64</v>
      </c>
      <c r="O111" s="2">
        <f>MAX(0,O110+($N$126-N111-CUSUM!F111))</f>
        <v>206.56097560975587</v>
      </c>
      <c r="P111" s="14">
        <v>68</v>
      </c>
      <c r="Q111" s="2">
        <f>MAX(0,Q110+($P$126-P111-CUSUM!F111))</f>
        <v>198.1463414634149</v>
      </c>
      <c r="R111" s="14">
        <v>75</v>
      </c>
      <c r="S111" s="2">
        <f>MAX(0,S110+($R$126-R111-CUSUM!F111))</f>
        <v>204.5691056910569</v>
      </c>
      <c r="T111" s="14">
        <v>75</v>
      </c>
      <c r="U111" s="2">
        <f>MAX(0,U110+($T$126-T111-CUSUM!F111))</f>
        <v>97.65040650406506</v>
      </c>
      <c r="V111" s="14">
        <v>71</v>
      </c>
      <c r="W111" s="2">
        <f>MAX(0,W110+($V$126-V111-CUSUM!F111))</f>
        <v>209</v>
      </c>
      <c r="X111" s="14">
        <v>82</v>
      </c>
      <c r="Y111" s="2">
        <f>MAX(0,Y110+($X$126-X111-CUSUM!F111))</f>
        <v>170.94308943089402</v>
      </c>
      <c r="Z111" s="14">
        <v>69</v>
      </c>
      <c r="AA111" s="2">
        <f>MAX(0,AA110+($Z$126-Z111-CUSUM!F111))</f>
        <v>109.90243902439035</v>
      </c>
      <c r="AB111" s="14">
        <v>51</v>
      </c>
      <c r="AC111" s="2">
        <f>MAX(0,AC110+($AB$126-AB111-CUSUM!F111))</f>
        <v>191.69105691056888</v>
      </c>
      <c r="AD111" s="14">
        <v>80</v>
      </c>
      <c r="AE111" s="2">
        <f>MAX(0,AE110+($AD$126-AD111-CUSUM!F111))</f>
        <v>208.65040650406519</v>
      </c>
      <c r="AF111" s="14">
        <v>85</v>
      </c>
      <c r="AG111" s="2">
        <f>MAX(0,AG110+($AF$126-AF111-CUSUM!F111))</f>
        <v>268.16260162601634</v>
      </c>
      <c r="AH111" s="14">
        <v>75</v>
      </c>
      <c r="AI111" s="2">
        <f>MAX(0,AI110+($AH$126-AH111-CUSUM!F111))</f>
        <v>208.36585365853679</v>
      </c>
      <c r="AJ111" s="14">
        <v>72</v>
      </c>
      <c r="AK111" s="2">
        <f>MAX(0,AK110+($AJ$126-AJ111-CUSUM!F111))</f>
        <v>109.00000000000013</v>
      </c>
      <c r="AL111" s="14">
        <v>80</v>
      </c>
      <c r="AM111" s="2">
        <f>MAX(0,AM110+($AL$126-AL111-CUSUM!F111))</f>
        <v>137.06504065040633</v>
      </c>
      <c r="AN111" s="14">
        <v>70</v>
      </c>
      <c r="AO111" s="2">
        <f>MAX(0,AO110+($AN$126-AN111-CUSUM!F111))</f>
        <v>240.82926829268297</v>
      </c>
    </row>
    <row r="112" spans="1:41" x14ac:dyDescent="0.2">
      <c r="A112" s="8">
        <v>43756</v>
      </c>
      <c r="B112" s="14">
        <v>66</v>
      </c>
      <c r="C112" s="2">
        <f>MAX(0,C111+($B$126-B112-CUSUM!F112))</f>
        <v>281.75609756097583</v>
      </c>
      <c r="D112" s="14">
        <v>64</v>
      </c>
      <c r="E112" s="2">
        <f>MAX(0,E111+($D$126-D112-CUSUM!F112))</f>
        <v>193.21951219512192</v>
      </c>
      <c r="F112" s="14">
        <v>78</v>
      </c>
      <c r="G112" s="2">
        <f>MAX(0,G111+($F$126-F112-CUSUM!F112))</f>
        <v>155.06504065040662</v>
      </c>
      <c r="H112" s="14">
        <v>71</v>
      </c>
      <c r="I112" s="2">
        <f>MAX(0,I111+($H$126-H112-CUSUM!F112))</f>
        <v>266.80487804878072</v>
      </c>
      <c r="J112" s="14">
        <v>80</v>
      </c>
      <c r="K112" s="2">
        <f>MAX(0,K111+($J$126-J112-CUSUM!F112))</f>
        <v>355.56097560975581</v>
      </c>
      <c r="L112" s="14">
        <v>64</v>
      </c>
      <c r="M112" s="2">
        <f>MAX(0,M111+($L$126-L112-CUSUM!F112))</f>
        <v>218.82113821138211</v>
      </c>
      <c r="N112" s="14">
        <v>68</v>
      </c>
      <c r="O112" s="2">
        <f>MAX(0,O111+($N$126-N112-CUSUM!F112))</f>
        <v>222.14634146341439</v>
      </c>
      <c r="P112" s="14">
        <v>70</v>
      </c>
      <c r="Q112" s="2">
        <f>MAX(0,Q111+($P$126-P112-CUSUM!F112))</f>
        <v>209.62601626016288</v>
      </c>
      <c r="R112" s="14">
        <v>73</v>
      </c>
      <c r="S112" s="2">
        <f>MAX(0,S111+($R$126-R112-CUSUM!F112))</f>
        <v>213.33333333333331</v>
      </c>
      <c r="T112" s="14">
        <v>81</v>
      </c>
      <c r="U112" s="2">
        <f>MAX(0,U111+($T$126-T112-CUSUM!F112))</f>
        <v>100.00813008130083</v>
      </c>
      <c r="V112" s="14">
        <v>77</v>
      </c>
      <c r="W112" s="2">
        <f>MAX(0,W111+($V$126-V112-CUSUM!F112))</f>
        <v>215.04878048780489</v>
      </c>
      <c r="X112" s="14">
        <v>77</v>
      </c>
      <c r="Y112" s="2">
        <f>MAX(0,Y111+($X$126-X112-CUSUM!F112))</f>
        <v>179.34146341463384</v>
      </c>
      <c r="Z112" s="14">
        <v>67</v>
      </c>
      <c r="AA112" s="2">
        <f>MAX(0,AA111+($Z$126-Z112-CUSUM!F112))</f>
        <v>125.41463414634157</v>
      </c>
      <c r="AB112" s="14">
        <v>55</v>
      </c>
      <c r="AC112" s="2">
        <f>MAX(0,AC111+($AB$126-AB112-CUSUM!F112))</f>
        <v>217.68292682926807</v>
      </c>
      <c r="AD112" s="14">
        <v>78</v>
      </c>
      <c r="AE112" s="2">
        <f>MAX(0,AE111+($AD$126-AD112-CUSUM!F112))</f>
        <v>217.86178861788633</v>
      </c>
      <c r="AF112" s="14">
        <v>80</v>
      </c>
      <c r="AG112" s="2">
        <f>MAX(0,AG111+($AF$126-AF112-CUSUM!F112))</f>
        <v>273.43902439024396</v>
      </c>
      <c r="AH112" s="14">
        <v>74</v>
      </c>
      <c r="AI112" s="2">
        <f>MAX(0,AI111+($AH$126-AH112-CUSUM!F112))</f>
        <v>219.01626016260184</v>
      </c>
      <c r="AJ112" s="14">
        <v>73</v>
      </c>
      <c r="AK112" s="2">
        <f>MAX(0,AK111+($AJ$126-AJ112-CUSUM!F112))</f>
        <v>117.6666666666668</v>
      </c>
      <c r="AL112" s="14">
        <v>76</v>
      </c>
      <c r="AM112" s="2">
        <f>MAX(0,AM111+($AL$126-AL112-CUSUM!F112))</f>
        <v>145.00813008130064</v>
      </c>
      <c r="AN112" s="14">
        <v>66</v>
      </c>
      <c r="AO112" s="2">
        <f>MAX(0,AO111+($AN$126-AN112-CUSUM!F112))</f>
        <v>258.13008130081306</v>
      </c>
    </row>
    <row r="113" spans="1:41" x14ac:dyDescent="0.2">
      <c r="A113" s="8">
        <v>43757</v>
      </c>
      <c r="B113" s="14">
        <v>63</v>
      </c>
      <c r="C113" s="2">
        <f>MAX(0,C112+($B$126-B113-CUSUM!F113))</f>
        <v>302.47154471544741</v>
      </c>
      <c r="D113" s="14">
        <v>69</v>
      </c>
      <c r="E113" s="2">
        <f>MAX(0,E112+($D$126-D113-CUSUM!F113))</f>
        <v>205.89430894308941</v>
      </c>
      <c r="F113" s="14">
        <v>82</v>
      </c>
      <c r="G113" s="2">
        <f>MAX(0,G112+($F$126-F113-CUSUM!F113))</f>
        <v>157.32520325203262</v>
      </c>
      <c r="H113" s="14">
        <v>66</v>
      </c>
      <c r="I113" s="2">
        <f>MAX(0,I112+($H$126-H113-CUSUM!F113))</f>
        <v>284.16260162601651</v>
      </c>
      <c r="J113" s="14">
        <v>73</v>
      </c>
      <c r="K113" s="2">
        <f>MAX(0,K112+($J$126-J113-CUSUM!F113))</f>
        <v>366.59349593495904</v>
      </c>
      <c r="L113" s="14">
        <v>71</v>
      </c>
      <c r="M113" s="2">
        <f>MAX(0,M112+($L$126-L113-CUSUM!F113))</f>
        <v>229.3739837398374</v>
      </c>
      <c r="N113" s="14">
        <v>71</v>
      </c>
      <c r="O113" s="2">
        <f>MAX(0,O112+($N$126-N113-CUSUM!F113))</f>
        <v>234.7317073170729</v>
      </c>
      <c r="P113" s="14">
        <v>75</v>
      </c>
      <c r="Q113" s="2">
        <f>MAX(0,Q112+($P$126-P113-CUSUM!F113))</f>
        <v>216.10569105691087</v>
      </c>
      <c r="R113" s="14">
        <v>68</v>
      </c>
      <c r="S113" s="2">
        <f>MAX(0,S112+($R$126-R113-CUSUM!F113))</f>
        <v>227.09756097560972</v>
      </c>
      <c r="T113" s="14">
        <v>83</v>
      </c>
      <c r="U113" s="2">
        <f>MAX(0,U112+($T$126-T113-CUSUM!F113))</f>
        <v>100.36585365853661</v>
      </c>
      <c r="V113" s="14">
        <v>76</v>
      </c>
      <c r="W113" s="2">
        <f>MAX(0,W112+($V$126-V113-CUSUM!F113))</f>
        <v>222.09756097560978</v>
      </c>
      <c r="X113" s="14">
        <v>76</v>
      </c>
      <c r="Y113" s="2">
        <f>MAX(0,Y112+($X$126-X113-CUSUM!F113))</f>
        <v>188.73983739837365</v>
      </c>
      <c r="Z113" s="14">
        <v>65</v>
      </c>
      <c r="AA113" s="2">
        <f>MAX(0,AA112+($Z$126-Z113-CUSUM!F113))</f>
        <v>142.92682926829281</v>
      </c>
      <c r="AB113" s="14">
        <v>61</v>
      </c>
      <c r="AC113" s="2">
        <f>MAX(0,AC112+($AB$126-AB113-CUSUM!F113))</f>
        <v>237.67479674796726</v>
      </c>
      <c r="AD113" s="14">
        <v>82</v>
      </c>
      <c r="AE113" s="2">
        <f>MAX(0,AE112+($AD$126-AD113-CUSUM!F113))</f>
        <v>223.07317073170748</v>
      </c>
      <c r="AF113" s="14">
        <v>67</v>
      </c>
      <c r="AG113" s="2">
        <f>MAX(0,AG112+($AF$126-AF113-CUSUM!F113))</f>
        <v>291.71544715447158</v>
      </c>
      <c r="AH113" s="14">
        <v>73</v>
      </c>
      <c r="AI113" s="2">
        <f>MAX(0,AI112+($AH$126-AH113-CUSUM!F113))</f>
        <v>230.66666666666688</v>
      </c>
      <c r="AJ113" s="14">
        <v>63</v>
      </c>
      <c r="AK113" s="2">
        <f>MAX(0,AK112+($AJ$126-AJ113-CUSUM!F113))</f>
        <v>136.33333333333348</v>
      </c>
      <c r="AL113" s="14">
        <v>73</v>
      </c>
      <c r="AM113" s="2">
        <f>MAX(0,AM112+($AL$126-AL113-CUSUM!F113))</f>
        <v>155.95121951219494</v>
      </c>
      <c r="AN113" s="14">
        <v>64</v>
      </c>
      <c r="AO113" s="2">
        <f>MAX(0,AO112+($AN$126-AN113-CUSUM!F113))</f>
        <v>277.43089430894315</v>
      </c>
    </row>
    <row r="114" spans="1:41" x14ac:dyDescent="0.2">
      <c r="A114" s="8">
        <v>43758</v>
      </c>
      <c r="B114" s="14">
        <v>68</v>
      </c>
      <c r="C114" s="2">
        <f>MAX(0,C113+($B$126-B114-CUSUM!F114))</f>
        <v>318.18699186991898</v>
      </c>
      <c r="D114" s="14">
        <v>70</v>
      </c>
      <c r="E114" s="2">
        <f>MAX(0,E113+($D$126-D114-CUSUM!F114))</f>
        <v>217.5691056910569</v>
      </c>
      <c r="F114" s="14">
        <v>75</v>
      </c>
      <c r="G114" s="2">
        <f>MAX(0,G113+($F$126-F114-CUSUM!F114))</f>
        <v>166.58536585365863</v>
      </c>
      <c r="H114" s="14">
        <v>60</v>
      </c>
      <c r="I114" s="2">
        <f>MAX(0,I113+($H$126-H114-CUSUM!F114))</f>
        <v>307.5203252032523</v>
      </c>
      <c r="J114" s="14">
        <v>73</v>
      </c>
      <c r="K114" s="2">
        <f>MAX(0,K113+($J$126-J114-CUSUM!F114))</f>
        <v>377.62601626016226</v>
      </c>
      <c r="L114" s="14">
        <v>75</v>
      </c>
      <c r="M114" s="2">
        <f>MAX(0,M113+($L$126-L114-CUSUM!F114))</f>
        <v>235.92682926829269</v>
      </c>
      <c r="N114" s="14">
        <v>73</v>
      </c>
      <c r="O114" s="2">
        <f>MAX(0,O113+($N$126-N114-CUSUM!F114))</f>
        <v>245.31707317073142</v>
      </c>
      <c r="P114" s="14">
        <v>78</v>
      </c>
      <c r="Q114" s="2">
        <f>MAX(0,Q113+($P$126-P114-CUSUM!F114))</f>
        <v>219.58536585365886</v>
      </c>
      <c r="R114" s="14">
        <v>71</v>
      </c>
      <c r="S114" s="2">
        <f>MAX(0,S113+($R$126-R114-CUSUM!F114))</f>
        <v>237.86178861788613</v>
      </c>
      <c r="T114" s="14">
        <v>83</v>
      </c>
      <c r="U114" s="2">
        <f>MAX(0,U113+($T$126-T114-CUSUM!F114))</f>
        <v>100.72357723577238</v>
      </c>
      <c r="V114" s="14">
        <v>69</v>
      </c>
      <c r="W114" s="2">
        <f>MAX(0,W113+($V$126-V114-CUSUM!F114))</f>
        <v>236.14634146341467</v>
      </c>
      <c r="X114" s="14">
        <v>75</v>
      </c>
      <c r="Y114" s="2">
        <f>MAX(0,Y113+($X$126-X114-CUSUM!F114))</f>
        <v>199.13821138211347</v>
      </c>
      <c r="Z114" s="14">
        <v>66</v>
      </c>
      <c r="AA114" s="2">
        <f>MAX(0,AA113+($Z$126-Z114-CUSUM!F114))</f>
        <v>159.43902439024401</v>
      </c>
      <c r="AB114" s="14">
        <v>68</v>
      </c>
      <c r="AC114" s="2">
        <f>MAX(0,AC113+($AB$126-AB114-CUSUM!F114))</f>
        <v>250.66666666666646</v>
      </c>
      <c r="AD114" s="14">
        <v>77</v>
      </c>
      <c r="AE114" s="2">
        <f>MAX(0,AE113+($AD$126-AD114-CUSUM!F114))</f>
        <v>233.28455284552862</v>
      </c>
      <c r="AF114" s="14">
        <v>59</v>
      </c>
      <c r="AG114" s="2">
        <f>MAX(0,AG113+($AF$126-AF114-CUSUM!F114))</f>
        <v>317.99186991869919</v>
      </c>
      <c r="AH114" s="14">
        <v>71</v>
      </c>
      <c r="AI114" s="2">
        <f>MAX(0,AI113+($AH$126-AH114-CUSUM!F114))</f>
        <v>244.31707317073193</v>
      </c>
      <c r="AJ114" s="14">
        <v>70</v>
      </c>
      <c r="AK114" s="2">
        <f>MAX(0,AK113+($AJ$126-AJ114-CUSUM!F114))</f>
        <v>148.00000000000017</v>
      </c>
      <c r="AL114" s="14">
        <v>73</v>
      </c>
      <c r="AM114" s="2">
        <f>MAX(0,AM113+($AL$126-AL114-CUSUM!F114))</f>
        <v>166.89430894308924</v>
      </c>
      <c r="AN114" s="14">
        <v>71</v>
      </c>
      <c r="AO114" s="2">
        <f>MAX(0,AO113+($AN$126-AN114-CUSUM!F114))</f>
        <v>289.73170731707324</v>
      </c>
    </row>
    <row r="115" spans="1:41" x14ac:dyDescent="0.2">
      <c r="A115" s="8">
        <v>43759</v>
      </c>
      <c r="B115" s="14">
        <v>79</v>
      </c>
      <c r="C115" s="2">
        <f>MAX(0,C114+($B$126-B115-CUSUM!F115))</f>
        <v>322.90243902439056</v>
      </c>
      <c r="D115" s="14">
        <v>70</v>
      </c>
      <c r="E115" s="2">
        <f>MAX(0,E114+($D$126-D115-CUSUM!F115))</f>
        <v>229.2439024390244</v>
      </c>
      <c r="F115" s="14">
        <v>73</v>
      </c>
      <c r="G115" s="2">
        <f>MAX(0,G114+($F$126-F115-CUSUM!F115))</f>
        <v>177.84552845528464</v>
      </c>
      <c r="H115" s="14">
        <v>64</v>
      </c>
      <c r="I115" s="2">
        <f>MAX(0,I114+($H$126-H115-CUSUM!F115))</f>
        <v>326.87804878048809</v>
      </c>
      <c r="J115" s="14">
        <v>75</v>
      </c>
      <c r="K115" s="2">
        <f>MAX(0,K114+($J$126-J115-CUSUM!F115))</f>
        <v>386.65853658536548</v>
      </c>
      <c r="L115" s="14">
        <v>79</v>
      </c>
      <c r="M115" s="2">
        <f>MAX(0,M114+($L$126-L115-CUSUM!F115))</f>
        <v>238.47967479674799</v>
      </c>
      <c r="N115" s="14">
        <v>71</v>
      </c>
      <c r="O115" s="2">
        <f>MAX(0,O114+($N$126-N115-CUSUM!F115))</f>
        <v>257.90243902438993</v>
      </c>
      <c r="P115" s="14">
        <v>84</v>
      </c>
      <c r="Q115" s="2">
        <f>MAX(0,Q114+($P$126-P115-CUSUM!F115))</f>
        <v>217.06504065040684</v>
      </c>
      <c r="R115" s="14">
        <v>73</v>
      </c>
      <c r="S115" s="2">
        <f>MAX(0,S114+($R$126-R115-CUSUM!F115))</f>
        <v>246.62601626016254</v>
      </c>
      <c r="T115" s="14">
        <v>80</v>
      </c>
      <c r="U115" s="2">
        <f>MAX(0,U114+($T$126-T115-CUSUM!F115))</f>
        <v>104.08130081300816</v>
      </c>
      <c r="V115" s="14">
        <v>69</v>
      </c>
      <c r="W115" s="2">
        <f>MAX(0,W114+($V$126-V115-CUSUM!F115))</f>
        <v>250.19512195121956</v>
      </c>
      <c r="X115" s="14">
        <v>78</v>
      </c>
      <c r="Y115" s="2">
        <f>MAX(0,Y114+($X$126-X115-CUSUM!F115))</f>
        <v>206.53658536585328</v>
      </c>
      <c r="Z115" s="14">
        <v>72</v>
      </c>
      <c r="AA115" s="2">
        <f>MAX(0,AA114+($Z$126-Z115-CUSUM!F115))</f>
        <v>169.95121951219522</v>
      </c>
      <c r="AB115" s="14">
        <v>71</v>
      </c>
      <c r="AC115" s="2">
        <f>MAX(0,AC114+($AB$126-AB115-CUSUM!F115))</f>
        <v>260.65853658536565</v>
      </c>
      <c r="AD115" s="14">
        <v>80</v>
      </c>
      <c r="AE115" s="2">
        <f>MAX(0,AE114+($AD$126-AD115-CUSUM!F115))</f>
        <v>240.49593495934977</v>
      </c>
      <c r="AF115" s="14">
        <v>63</v>
      </c>
      <c r="AG115" s="2">
        <f>MAX(0,AG114+($AF$126-AF115-CUSUM!F115))</f>
        <v>340.26829268292681</v>
      </c>
      <c r="AH115" s="14">
        <v>76</v>
      </c>
      <c r="AI115" s="2">
        <f>MAX(0,AI114+($AH$126-AH115-CUSUM!F115))</f>
        <v>252.96747967479698</v>
      </c>
      <c r="AJ115" s="14">
        <v>72</v>
      </c>
      <c r="AK115" s="2">
        <f>MAX(0,AK114+($AJ$126-AJ115-CUSUM!F115))</f>
        <v>157.66666666666686</v>
      </c>
      <c r="AL115" s="14">
        <v>77</v>
      </c>
      <c r="AM115" s="2">
        <f>MAX(0,AM114+($AL$126-AL115-CUSUM!F115))</f>
        <v>173.83739837398355</v>
      </c>
      <c r="AN115" s="14">
        <v>76</v>
      </c>
      <c r="AO115" s="2">
        <f>MAX(0,AO114+($AN$126-AN115-CUSUM!F115))</f>
        <v>297.03252032520334</v>
      </c>
    </row>
    <row r="116" spans="1:41" x14ac:dyDescent="0.2">
      <c r="A116" s="8">
        <v>43760</v>
      </c>
      <c r="B116" s="14">
        <v>81</v>
      </c>
      <c r="C116" s="2">
        <f>MAX(0,C115+($B$126-B116-CUSUM!F116))</f>
        <v>325.61788617886214</v>
      </c>
      <c r="D116" s="14">
        <v>62</v>
      </c>
      <c r="E116" s="2">
        <f>MAX(0,E115+($D$126-D116-CUSUM!F116))</f>
        <v>248.91869918699189</v>
      </c>
      <c r="F116" s="14">
        <v>63</v>
      </c>
      <c r="G116" s="2">
        <f>MAX(0,G115+($F$126-F116-CUSUM!F116))</f>
        <v>199.10569105691064</v>
      </c>
      <c r="H116" s="14">
        <v>73</v>
      </c>
      <c r="I116" s="2">
        <f>MAX(0,I115+($H$126-H116-CUSUM!F116))</f>
        <v>337.23577235772387</v>
      </c>
      <c r="J116" s="14">
        <v>79</v>
      </c>
      <c r="K116" s="2">
        <f>MAX(0,K115+($J$126-J116-CUSUM!F116))</f>
        <v>391.6910569105687</v>
      </c>
      <c r="L116" s="14">
        <v>80</v>
      </c>
      <c r="M116" s="2">
        <f>MAX(0,M115+($L$126-L116-CUSUM!F116))</f>
        <v>240.03252032520328</v>
      </c>
      <c r="N116" s="14">
        <v>64</v>
      </c>
      <c r="O116" s="2">
        <f>MAX(0,O115+($N$126-N116-CUSUM!F116))</f>
        <v>277.48780487804845</v>
      </c>
      <c r="P116" s="14">
        <v>78</v>
      </c>
      <c r="Q116" s="2">
        <f>MAX(0,Q115+($P$126-P116-CUSUM!F116))</f>
        <v>220.54471544715483</v>
      </c>
      <c r="R116" s="14">
        <v>73</v>
      </c>
      <c r="S116" s="2">
        <f>MAX(0,S115+($R$126-R116-CUSUM!F116))</f>
        <v>255.39024390243895</v>
      </c>
      <c r="T116" s="14">
        <v>67</v>
      </c>
      <c r="U116" s="2">
        <f>MAX(0,U115+($T$126-T116-CUSUM!F116))</f>
        <v>120.43902439024393</v>
      </c>
      <c r="V116" s="14">
        <v>70</v>
      </c>
      <c r="W116" s="2">
        <f>MAX(0,W115+($V$126-V116-CUSUM!F116))</f>
        <v>263.24390243902445</v>
      </c>
      <c r="X116" s="14">
        <v>72</v>
      </c>
      <c r="Y116" s="2">
        <f>MAX(0,Y115+($X$126-X116-CUSUM!F116))</f>
        <v>219.9349593495931</v>
      </c>
      <c r="Z116" s="14">
        <v>68</v>
      </c>
      <c r="AA116" s="2">
        <f>MAX(0,AA115+($Z$126-Z116-CUSUM!F116))</f>
        <v>184.46341463414643</v>
      </c>
      <c r="AB116" s="14">
        <v>74</v>
      </c>
      <c r="AC116" s="2">
        <f>MAX(0,AC115+($AB$126-AB116-CUSUM!F116))</f>
        <v>267.65040650406485</v>
      </c>
      <c r="AD116" s="14">
        <v>78</v>
      </c>
      <c r="AE116" s="2">
        <f>MAX(0,AE115+($AD$126-AD116-CUSUM!F116))</f>
        <v>249.70731707317091</v>
      </c>
      <c r="AF116" s="14">
        <v>68</v>
      </c>
      <c r="AG116" s="2">
        <f>MAX(0,AG115+($AF$126-AF116-CUSUM!F116))</f>
        <v>357.54471544715443</v>
      </c>
      <c r="AH116" s="14">
        <v>79</v>
      </c>
      <c r="AI116" s="2">
        <f>MAX(0,AI115+($AH$126-AH116-CUSUM!F116))</f>
        <v>258.61788617886202</v>
      </c>
      <c r="AJ116" s="14">
        <v>69</v>
      </c>
      <c r="AK116" s="2">
        <f>MAX(0,AK115+($AJ$126-AJ116-CUSUM!F116))</f>
        <v>170.33333333333354</v>
      </c>
      <c r="AL116" s="14">
        <v>70</v>
      </c>
      <c r="AM116" s="2">
        <f>MAX(0,AM115+($AL$126-AL116-CUSUM!F116))</f>
        <v>187.78048780487785</v>
      </c>
      <c r="AN116" s="14">
        <v>79</v>
      </c>
      <c r="AO116" s="2">
        <f>MAX(0,AO115+($AN$126-AN116-CUSUM!F116))</f>
        <v>301.33333333333343</v>
      </c>
    </row>
    <row r="117" spans="1:41" x14ac:dyDescent="0.2">
      <c r="A117" s="8">
        <v>43761</v>
      </c>
      <c r="B117" s="14">
        <v>69</v>
      </c>
      <c r="C117" s="2">
        <f>MAX(0,C116+($B$126-B117-CUSUM!F117))</f>
        <v>340.33333333333371</v>
      </c>
      <c r="D117" s="14">
        <v>63</v>
      </c>
      <c r="E117" s="2">
        <f>MAX(0,E116+($D$126-D117-CUSUM!F117))</f>
        <v>267.59349593495938</v>
      </c>
      <c r="F117" s="14">
        <v>63</v>
      </c>
      <c r="G117" s="2">
        <f>MAX(0,G116+($F$126-F117-CUSUM!F117))</f>
        <v>220.36585365853665</v>
      </c>
      <c r="H117" s="14">
        <v>57</v>
      </c>
      <c r="I117" s="2">
        <f>MAX(0,I116+($H$126-H117-CUSUM!F117))</f>
        <v>363.59349593495966</v>
      </c>
      <c r="J117" s="14">
        <v>75</v>
      </c>
      <c r="K117" s="2">
        <f>MAX(0,K116+($J$126-J117-CUSUM!F117))</f>
        <v>400.72357723577193</v>
      </c>
      <c r="L117" s="14">
        <v>81</v>
      </c>
      <c r="M117" s="2">
        <f>MAX(0,M116+($L$126-L117-CUSUM!F117))</f>
        <v>240.58536585365857</v>
      </c>
      <c r="N117" s="14">
        <v>59</v>
      </c>
      <c r="O117" s="2">
        <f>MAX(0,O116+($N$126-N117-CUSUM!F117))</f>
        <v>302.07317073170697</v>
      </c>
      <c r="P117" s="14">
        <v>78</v>
      </c>
      <c r="Q117" s="2">
        <f>MAX(0,Q116+($P$126-P117-CUSUM!F117))</f>
        <v>224.02439024390281</v>
      </c>
      <c r="R117" s="14">
        <v>70</v>
      </c>
      <c r="S117" s="2">
        <f>MAX(0,S116+($R$126-R117-CUSUM!F117))</f>
        <v>267.15447154471536</v>
      </c>
      <c r="T117" s="14">
        <v>70</v>
      </c>
      <c r="U117" s="2">
        <f>MAX(0,U116+($T$126-T117-CUSUM!F117))</f>
        <v>133.79674796747969</v>
      </c>
      <c r="V117" s="14">
        <v>53</v>
      </c>
      <c r="W117" s="2">
        <f>MAX(0,W116+($V$126-V117-CUSUM!F117))</f>
        <v>293.29268292682934</v>
      </c>
      <c r="X117" s="14">
        <v>81</v>
      </c>
      <c r="Y117" s="2">
        <f>MAX(0,Y116+($X$126-X117-CUSUM!F117))</f>
        <v>224.33333333333292</v>
      </c>
      <c r="Z117" s="14">
        <v>62</v>
      </c>
      <c r="AA117" s="2">
        <f>MAX(0,AA116+($Z$126-Z117-CUSUM!F117))</f>
        <v>204.97560975609764</v>
      </c>
      <c r="AB117" s="14">
        <v>72</v>
      </c>
      <c r="AC117" s="2">
        <f>MAX(0,AC116+($AB$126-AB117-CUSUM!F117))</f>
        <v>276.64227642276404</v>
      </c>
      <c r="AD117" s="14">
        <v>76</v>
      </c>
      <c r="AE117" s="2">
        <f>MAX(0,AE116+($AD$126-AD117-CUSUM!F117))</f>
        <v>260.91869918699206</v>
      </c>
      <c r="AF117" s="14">
        <v>70</v>
      </c>
      <c r="AG117" s="2">
        <f>MAX(0,AG116+($AF$126-AF117-CUSUM!F117))</f>
        <v>372.82113821138205</v>
      </c>
      <c r="AH117" s="14">
        <v>78</v>
      </c>
      <c r="AI117" s="2">
        <f>MAX(0,AI116+($AH$126-AH117-CUSUM!F117))</f>
        <v>265.26829268292704</v>
      </c>
      <c r="AJ117" s="14">
        <v>63</v>
      </c>
      <c r="AK117" s="2">
        <f>MAX(0,AK116+($AJ$126-AJ117-CUSUM!F117))</f>
        <v>189.00000000000023</v>
      </c>
      <c r="AL117" s="14">
        <v>72</v>
      </c>
      <c r="AM117" s="2">
        <f>MAX(0,AM116+($AL$126-AL117-CUSUM!F117))</f>
        <v>199.72357723577215</v>
      </c>
      <c r="AN117" s="14">
        <v>81</v>
      </c>
      <c r="AO117" s="2">
        <f>MAX(0,AO116+($AN$126-AN117-CUSUM!F117))</f>
        <v>303.63414634146352</v>
      </c>
    </row>
    <row r="118" spans="1:41" x14ac:dyDescent="0.2">
      <c r="A118" s="8">
        <v>43762</v>
      </c>
      <c r="B118" s="14">
        <v>73</v>
      </c>
      <c r="C118" s="2">
        <f>MAX(0,C117+($B$126-B118-CUSUM!F118))</f>
        <v>351.04878048780529</v>
      </c>
      <c r="D118" s="14">
        <v>62</v>
      </c>
      <c r="E118" s="2">
        <f>MAX(0,E117+($D$126-D118-CUSUM!F118))</f>
        <v>287.26829268292687</v>
      </c>
      <c r="F118" s="14">
        <v>72</v>
      </c>
      <c r="G118" s="2">
        <f>MAX(0,G117+($F$126-F118-CUSUM!F118))</f>
        <v>232.62601626016266</v>
      </c>
      <c r="H118" s="14">
        <v>59</v>
      </c>
      <c r="I118" s="2">
        <f>MAX(0,I117+($H$126-H118-CUSUM!F118))</f>
        <v>387.95121951219545</v>
      </c>
      <c r="J118" s="14">
        <v>75</v>
      </c>
      <c r="K118" s="2">
        <f>MAX(0,K117+($J$126-J118-CUSUM!F118))</f>
        <v>409.75609756097515</v>
      </c>
      <c r="L118" s="14">
        <v>79</v>
      </c>
      <c r="M118" s="2">
        <f>MAX(0,M117+($L$126-L118-CUSUM!F118))</f>
        <v>243.13821138211387</v>
      </c>
      <c r="N118" s="14">
        <v>68</v>
      </c>
      <c r="O118" s="2">
        <f>MAX(0,O117+($N$126-N118-CUSUM!F118))</f>
        <v>317.65853658536548</v>
      </c>
      <c r="P118" s="14">
        <v>73</v>
      </c>
      <c r="Q118" s="2">
        <f>MAX(0,Q117+($P$126-P118-CUSUM!F118))</f>
        <v>232.5040650406508</v>
      </c>
      <c r="R118" s="14">
        <v>73</v>
      </c>
      <c r="S118" s="2">
        <f>MAX(0,S117+($R$126-R118-CUSUM!F118))</f>
        <v>275.91869918699177</v>
      </c>
      <c r="T118" s="14">
        <v>56</v>
      </c>
      <c r="U118" s="2">
        <f>MAX(0,U117+($T$126-T118-CUSUM!F118))</f>
        <v>161.15447154471548</v>
      </c>
      <c r="V118" s="14">
        <v>56</v>
      </c>
      <c r="W118" s="2">
        <f>MAX(0,W117+($V$126-V118-CUSUM!F118))</f>
        <v>320.34146341463423</v>
      </c>
      <c r="X118" s="14">
        <v>59</v>
      </c>
      <c r="Y118" s="2">
        <f>MAX(0,Y117+($X$126-X118-CUSUM!F118))</f>
        <v>250.73170731707273</v>
      </c>
      <c r="Z118" s="14">
        <v>54</v>
      </c>
      <c r="AA118" s="2">
        <f>MAX(0,AA117+($Z$126-Z118-CUSUM!F118))</f>
        <v>233.48780487804885</v>
      </c>
      <c r="AB118" s="14">
        <v>69</v>
      </c>
      <c r="AC118" s="2">
        <f>MAX(0,AC117+($AB$126-AB118-CUSUM!F118))</f>
        <v>288.63414634146324</v>
      </c>
      <c r="AD118" s="14">
        <v>81</v>
      </c>
      <c r="AE118" s="2">
        <f>MAX(0,AE117+($AD$126-AD118-CUSUM!F118))</f>
        <v>267.13008130081323</v>
      </c>
      <c r="AF118" s="14">
        <v>73</v>
      </c>
      <c r="AG118" s="2">
        <f>MAX(0,AG117+($AF$126-AF118-CUSUM!F118))</f>
        <v>385.09756097560967</v>
      </c>
      <c r="AH118" s="14">
        <v>79</v>
      </c>
      <c r="AI118" s="2">
        <f>MAX(0,AI117+($AH$126-AH118-CUSUM!F118))</f>
        <v>270.91869918699206</v>
      </c>
      <c r="AJ118" s="14">
        <v>66</v>
      </c>
      <c r="AK118" s="2">
        <f>MAX(0,AK117+($AJ$126-AJ118-CUSUM!F118))</f>
        <v>204.66666666666691</v>
      </c>
      <c r="AL118" s="14">
        <v>74</v>
      </c>
      <c r="AM118" s="2">
        <f>MAX(0,AM117+($AL$126-AL118-CUSUM!F118))</f>
        <v>209.66666666666646</v>
      </c>
      <c r="AN118" s="14">
        <v>76</v>
      </c>
      <c r="AO118" s="2">
        <f>MAX(0,AO117+($AN$126-AN118-CUSUM!F118))</f>
        <v>310.93495934959361</v>
      </c>
    </row>
    <row r="119" spans="1:41" x14ac:dyDescent="0.2">
      <c r="A119" s="8">
        <v>43763</v>
      </c>
      <c r="B119" s="14">
        <v>73</v>
      </c>
      <c r="C119" s="2">
        <f>MAX(0,C118+($B$126-B119-CUSUM!F119))</f>
        <v>361.76422764227686</v>
      </c>
      <c r="D119" s="14">
        <v>75</v>
      </c>
      <c r="E119" s="2">
        <f>MAX(0,E118+($D$126-D119-CUSUM!F119))</f>
        <v>293.94308943089436</v>
      </c>
      <c r="F119" s="14">
        <v>75</v>
      </c>
      <c r="G119" s="2">
        <f>MAX(0,G118+($F$126-F119-CUSUM!F119))</f>
        <v>241.88617886178866</v>
      </c>
      <c r="H119" s="14">
        <v>64</v>
      </c>
      <c r="I119" s="2">
        <f>MAX(0,I118+($H$126-H119-CUSUM!F119))</f>
        <v>407.30894308943124</v>
      </c>
      <c r="J119" s="14">
        <v>78</v>
      </c>
      <c r="K119" s="2">
        <f>MAX(0,K118+($J$126-J119-CUSUM!F119))</f>
        <v>415.78861788617837</v>
      </c>
      <c r="L119" s="14">
        <v>73</v>
      </c>
      <c r="M119" s="2">
        <f>MAX(0,M118+($L$126-L119-CUSUM!F119))</f>
        <v>251.69105691056916</v>
      </c>
      <c r="N119" s="14">
        <v>60</v>
      </c>
      <c r="O119" s="2">
        <f>MAX(0,O118+($N$126-N119-CUSUM!F119))</f>
        <v>341.243902439024</v>
      </c>
      <c r="P119" s="14">
        <v>73</v>
      </c>
      <c r="Q119" s="2">
        <f>MAX(0,Q118+($P$126-P119-CUSUM!F119))</f>
        <v>240.98373983739879</v>
      </c>
      <c r="R119" s="14">
        <v>78</v>
      </c>
      <c r="S119" s="2">
        <f>MAX(0,S118+($R$126-R119-CUSUM!F119))</f>
        <v>279.68292682926818</v>
      </c>
      <c r="T119" s="14">
        <v>54</v>
      </c>
      <c r="U119" s="2">
        <f>MAX(0,U118+($T$126-T119-CUSUM!F119))</f>
        <v>190.51219512195127</v>
      </c>
      <c r="V119" s="14">
        <v>55</v>
      </c>
      <c r="W119" s="2">
        <f>MAX(0,W118+($V$126-V119-CUSUM!F119))</f>
        <v>348.39024390243912</v>
      </c>
      <c r="X119" s="14">
        <v>61</v>
      </c>
      <c r="Y119" s="2">
        <f>MAX(0,Y118+($X$126-X119-CUSUM!F119))</f>
        <v>275.13008130081255</v>
      </c>
      <c r="Z119" s="14">
        <v>67</v>
      </c>
      <c r="AA119" s="2">
        <f>MAX(0,AA118+($Z$126-Z119-CUSUM!F119))</f>
        <v>249.00000000000006</v>
      </c>
      <c r="AB119" s="14">
        <v>65</v>
      </c>
      <c r="AC119" s="2">
        <f>MAX(0,AC118+($AB$126-AB119-CUSUM!F119))</f>
        <v>304.62601626016243</v>
      </c>
      <c r="AD119" s="14">
        <v>76</v>
      </c>
      <c r="AE119" s="2">
        <f>MAX(0,AE118+($AD$126-AD119-CUSUM!F119))</f>
        <v>278.3414634146344</v>
      </c>
      <c r="AF119" s="14">
        <v>76</v>
      </c>
      <c r="AG119" s="2">
        <f>MAX(0,AG118+($AF$126-AF119-CUSUM!F119))</f>
        <v>394.37398373983729</v>
      </c>
      <c r="AH119" s="14">
        <v>80</v>
      </c>
      <c r="AI119" s="2">
        <f>MAX(0,AI118+($AH$126-AH119-CUSUM!F119))</f>
        <v>275.56910569105708</v>
      </c>
      <c r="AJ119" s="14">
        <v>56</v>
      </c>
      <c r="AK119" s="2">
        <f>MAX(0,AK118+($AJ$126-AJ119-CUSUM!F119))</f>
        <v>230.3333333333336</v>
      </c>
      <c r="AL119" s="14">
        <v>77</v>
      </c>
      <c r="AM119" s="2">
        <f>MAX(0,AM118+($AL$126-AL119-CUSUM!F119))</f>
        <v>216.60975609756076</v>
      </c>
      <c r="AN119" s="14">
        <v>71</v>
      </c>
      <c r="AO119" s="2">
        <f>MAX(0,AO118+($AN$126-AN119-CUSUM!F119))</f>
        <v>323.2357723577237</v>
      </c>
    </row>
    <row r="120" spans="1:41" x14ac:dyDescent="0.2">
      <c r="A120" s="8">
        <v>43764</v>
      </c>
      <c r="B120" s="14">
        <v>75</v>
      </c>
      <c r="C120" s="2">
        <f>MAX(0,C119+($B$126-B120-CUSUM!F120))</f>
        <v>370.47967479674844</v>
      </c>
      <c r="D120" s="14">
        <v>71</v>
      </c>
      <c r="E120" s="2">
        <f>MAX(0,E119+($D$126-D120-CUSUM!F120))</f>
        <v>304.61788617886185</v>
      </c>
      <c r="F120" s="14">
        <v>79</v>
      </c>
      <c r="G120" s="2">
        <f>MAX(0,G119+($F$126-F120-CUSUM!F120))</f>
        <v>247.14634146341467</v>
      </c>
      <c r="H120" s="14">
        <v>69</v>
      </c>
      <c r="I120" s="2">
        <f>MAX(0,I119+($H$126-H120-CUSUM!F120))</f>
        <v>421.66666666666703</v>
      </c>
      <c r="J120" s="14">
        <v>75</v>
      </c>
      <c r="K120" s="2">
        <f>MAX(0,K119+($J$126-J120-CUSUM!F120))</f>
        <v>424.82113821138159</v>
      </c>
      <c r="L120" s="14">
        <v>64</v>
      </c>
      <c r="M120" s="2">
        <f>MAX(0,M119+($L$126-L120-CUSUM!F120))</f>
        <v>269.24390243902445</v>
      </c>
      <c r="N120" s="14">
        <v>68</v>
      </c>
      <c r="O120" s="2">
        <f>MAX(0,O119+($N$126-N120-CUSUM!F120))</f>
        <v>356.82926829268251</v>
      </c>
      <c r="P120" s="14">
        <v>68</v>
      </c>
      <c r="Q120" s="2">
        <f>MAX(0,Q119+($P$126-P120-CUSUM!F120))</f>
        <v>254.46341463414677</v>
      </c>
      <c r="R120" s="14">
        <v>79</v>
      </c>
      <c r="S120" s="2">
        <f>MAX(0,S119+($R$126-R120-CUSUM!F120))</f>
        <v>282.44715447154459</v>
      </c>
      <c r="T120" s="14">
        <v>61</v>
      </c>
      <c r="U120" s="2">
        <f>MAX(0,U119+($T$126-T120-CUSUM!F120))</f>
        <v>212.86991869918705</v>
      </c>
      <c r="V120" s="14">
        <v>62</v>
      </c>
      <c r="W120" s="2">
        <f>MAX(0,W119+($V$126-V120-CUSUM!F120))</f>
        <v>369.43902439024401</v>
      </c>
      <c r="X120" s="14">
        <v>68</v>
      </c>
      <c r="Y120" s="2">
        <f>MAX(0,Y119+($X$126-X120-CUSUM!F120))</f>
        <v>292.52845528455236</v>
      </c>
      <c r="Z120" s="14">
        <v>70</v>
      </c>
      <c r="AA120" s="2">
        <f>MAX(0,AA119+($Z$126-Z120-CUSUM!F120))</f>
        <v>261.51219512195127</v>
      </c>
      <c r="AB120" s="14">
        <v>65</v>
      </c>
      <c r="AC120" s="2">
        <f>MAX(0,AC119+($AB$126-AB120-CUSUM!F120))</f>
        <v>320.61788617886162</v>
      </c>
      <c r="AD120" s="14">
        <v>85</v>
      </c>
      <c r="AE120" s="2">
        <f>MAX(0,AE119+($AD$126-AD120-CUSUM!F120))</f>
        <v>280.55284552845558</v>
      </c>
      <c r="AF120" s="14">
        <v>77</v>
      </c>
      <c r="AG120" s="2">
        <f>MAX(0,AG119+($AF$126-AF120-CUSUM!F120))</f>
        <v>402.6504065040649</v>
      </c>
      <c r="AH120" s="14">
        <v>80</v>
      </c>
      <c r="AI120" s="2">
        <f>MAX(0,AI119+($AH$126-AH120-CUSUM!F120))</f>
        <v>280.21951219512209</v>
      </c>
      <c r="AJ120" s="14">
        <v>61</v>
      </c>
      <c r="AK120" s="2">
        <f>MAX(0,AK119+($AJ$126-AJ120-CUSUM!F120))</f>
        <v>251.00000000000028</v>
      </c>
      <c r="AL120" s="14">
        <v>84</v>
      </c>
      <c r="AM120" s="2">
        <f>MAX(0,AM119+($AL$126-AL120-CUSUM!F120))</f>
        <v>216.55284552845507</v>
      </c>
      <c r="AN120" s="14">
        <v>67</v>
      </c>
      <c r="AO120" s="2">
        <f>MAX(0,AO119+($AN$126-AN120-CUSUM!F120))</f>
        <v>339.5365853658538</v>
      </c>
    </row>
    <row r="121" spans="1:41" x14ac:dyDescent="0.2">
      <c r="A121" s="8">
        <v>43765</v>
      </c>
      <c r="B121" s="14">
        <v>75</v>
      </c>
      <c r="C121" s="2">
        <f>MAX(0,C120+($B$126-B121-CUSUM!F121))</f>
        <v>379.19512195122002</v>
      </c>
      <c r="D121" s="14">
        <v>57</v>
      </c>
      <c r="E121" s="2">
        <f>MAX(0,E120+($D$126-D121-CUSUM!F121))</f>
        <v>329.29268292682934</v>
      </c>
      <c r="F121" s="14">
        <v>79</v>
      </c>
      <c r="G121" s="2">
        <f>MAX(0,G120+($F$126-F121-CUSUM!F121))</f>
        <v>252.40650406504068</v>
      </c>
      <c r="H121" s="14">
        <v>75</v>
      </c>
      <c r="I121" s="2">
        <f>MAX(0,I120+($H$126-H121-CUSUM!F121))</f>
        <v>430.02439024390281</v>
      </c>
      <c r="J121" s="14">
        <v>78</v>
      </c>
      <c r="K121" s="2">
        <f>MAX(0,K120+($J$126-J121-CUSUM!F121))</f>
        <v>430.85365853658482</v>
      </c>
      <c r="L121" s="14">
        <v>51</v>
      </c>
      <c r="M121" s="2">
        <f>MAX(0,M120+($L$126-L121-CUSUM!F121))</f>
        <v>299.79674796747975</v>
      </c>
      <c r="N121" s="14">
        <v>69</v>
      </c>
      <c r="O121" s="2">
        <f>MAX(0,O120+($N$126-N121-CUSUM!F121))</f>
        <v>371.41463414634103</v>
      </c>
      <c r="P121" s="14">
        <v>64</v>
      </c>
      <c r="Q121" s="2">
        <f>MAX(0,Q120+($P$126-P121-CUSUM!F121))</f>
        <v>271.94308943089476</v>
      </c>
      <c r="R121" s="14">
        <v>81</v>
      </c>
      <c r="S121" s="2">
        <f>MAX(0,S120+($R$126-R121-CUSUM!F121))</f>
        <v>283.211382113821</v>
      </c>
      <c r="T121" s="14">
        <v>63</v>
      </c>
      <c r="U121" s="2">
        <f>MAX(0,U120+($T$126-T121-CUSUM!F121))</f>
        <v>233.22764227642284</v>
      </c>
      <c r="V121" s="14">
        <v>66</v>
      </c>
      <c r="W121" s="2">
        <f>MAX(0,W120+($V$126-V121-CUSUM!F121))</f>
        <v>386.48780487804891</v>
      </c>
      <c r="X121" s="14">
        <v>67</v>
      </c>
      <c r="Y121" s="2">
        <f>MAX(0,Y120+($X$126-X121-CUSUM!F121))</f>
        <v>310.92682926829218</v>
      </c>
      <c r="Z121" s="14">
        <v>59</v>
      </c>
      <c r="AA121" s="2">
        <f>MAX(0,AA120+($Z$126-Z121-CUSUM!F121))</f>
        <v>285.02439024390247</v>
      </c>
      <c r="AB121" s="14">
        <v>60</v>
      </c>
      <c r="AC121" s="2">
        <f>MAX(0,AC120+($AB$126-AB121-CUSUM!F121))</f>
        <v>341.60975609756082</v>
      </c>
      <c r="AD121" s="14">
        <v>76</v>
      </c>
      <c r="AE121" s="2">
        <f>MAX(0,AE120+($AD$126-AD121-CUSUM!F121))</f>
        <v>291.76422764227675</v>
      </c>
      <c r="AF121" s="14">
        <v>79</v>
      </c>
      <c r="AG121" s="2">
        <f>MAX(0,AG120+($AF$126-AF121-CUSUM!F121))</f>
        <v>408.92682926829252</v>
      </c>
      <c r="AH121" s="14">
        <v>70</v>
      </c>
      <c r="AI121" s="2">
        <f>MAX(0,AI120+($AH$126-AH121-CUSUM!F121))</f>
        <v>294.86991869918711</v>
      </c>
      <c r="AJ121" s="14">
        <v>69</v>
      </c>
      <c r="AK121" s="2">
        <f>MAX(0,AK120+($AJ$126-AJ121-CUSUM!F121))</f>
        <v>263.66666666666697</v>
      </c>
      <c r="AL121" s="14">
        <v>84</v>
      </c>
      <c r="AM121" s="2">
        <f>MAX(0,AM120+($AL$126-AL121-CUSUM!F121))</f>
        <v>216.49593495934937</v>
      </c>
      <c r="AN121" s="14">
        <v>56</v>
      </c>
      <c r="AO121" s="2">
        <f>MAX(0,AO120+($AN$126-AN121-CUSUM!F121))</f>
        <v>366.83739837398389</v>
      </c>
    </row>
    <row r="122" spans="1:41" x14ac:dyDescent="0.2">
      <c r="A122" s="8">
        <v>43766</v>
      </c>
      <c r="B122" s="14">
        <v>81</v>
      </c>
      <c r="C122" s="2">
        <f>MAX(0,C121+($B$126-B122-CUSUM!F122))</f>
        <v>381.91056910569159</v>
      </c>
      <c r="D122" s="14">
        <v>55</v>
      </c>
      <c r="E122" s="2">
        <f>MAX(0,E121+($D$126-D122-CUSUM!F122))</f>
        <v>355.96747967479683</v>
      </c>
      <c r="F122" s="14">
        <v>79</v>
      </c>
      <c r="G122" s="2">
        <f>MAX(0,G121+($F$126-F122-CUSUM!F122))</f>
        <v>257.66666666666669</v>
      </c>
      <c r="H122" s="14">
        <v>73</v>
      </c>
      <c r="I122" s="2">
        <f>MAX(0,I121+($H$126-H122-CUSUM!F122))</f>
        <v>440.3821138211386</v>
      </c>
      <c r="J122" s="14">
        <v>80</v>
      </c>
      <c r="K122" s="2">
        <f>MAX(0,K121+($J$126-J122-CUSUM!F122))</f>
        <v>434.88617886178804</v>
      </c>
      <c r="L122" s="14">
        <v>55</v>
      </c>
      <c r="M122" s="2">
        <f>MAX(0,M121+($L$126-L122-CUSUM!F122))</f>
        <v>326.34959349593504</v>
      </c>
      <c r="N122" s="14">
        <v>75</v>
      </c>
      <c r="O122" s="2">
        <f>MAX(0,O121+($N$126-N122-CUSUM!F122))</f>
        <v>379.99999999999955</v>
      </c>
      <c r="P122" s="14">
        <v>57</v>
      </c>
      <c r="Q122" s="2">
        <f>MAX(0,Q121+($P$126-P122-CUSUM!F122))</f>
        <v>296.42276422764274</v>
      </c>
      <c r="R122" s="14">
        <v>78</v>
      </c>
      <c r="S122" s="2">
        <f>MAX(0,S121+($R$126-R122-CUSUM!F122))</f>
        <v>286.97560975609741</v>
      </c>
      <c r="T122" s="14">
        <v>62</v>
      </c>
      <c r="U122" s="2">
        <f>MAX(0,U121+($T$126-T122-CUSUM!F122))</f>
        <v>254.58536585365863</v>
      </c>
      <c r="V122" s="14">
        <v>63</v>
      </c>
      <c r="W122" s="2">
        <f>MAX(0,W121+($V$126-V122-CUSUM!F122))</f>
        <v>406.5365853658538</v>
      </c>
      <c r="X122" s="14">
        <v>70</v>
      </c>
      <c r="Y122" s="2">
        <f>MAX(0,Y121+($X$126-X122-CUSUM!F122))</f>
        <v>326.325203252032</v>
      </c>
      <c r="Z122" s="14">
        <v>50</v>
      </c>
      <c r="AA122" s="2">
        <f>MAX(0,AA121+($Z$126-Z122-CUSUM!F122))</f>
        <v>317.53658536585368</v>
      </c>
      <c r="AB122" s="14">
        <v>71</v>
      </c>
      <c r="AC122" s="2">
        <f>MAX(0,AC121+($AB$126-AB122-CUSUM!F122))</f>
        <v>351.60162601626001</v>
      </c>
      <c r="AD122" s="14">
        <v>74</v>
      </c>
      <c r="AE122" s="2">
        <f>MAX(0,AE121+($AD$126-AD122-CUSUM!F122))</f>
        <v>304.97560975609792</v>
      </c>
      <c r="AF122" s="14">
        <v>74</v>
      </c>
      <c r="AG122" s="2">
        <f>MAX(0,AG121+($AF$126-AF122-CUSUM!F122))</f>
        <v>420.20325203252014</v>
      </c>
      <c r="AH122" s="14">
        <v>56</v>
      </c>
      <c r="AI122" s="2">
        <f>MAX(0,AI121+($AH$126-AH122-CUSUM!F122))</f>
        <v>323.52032520325213</v>
      </c>
      <c r="AJ122" s="14">
        <v>64</v>
      </c>
      <c r="AK122" s="2">
        <f>MAX(0,AK121+($AJ$126-AJ122-CUSUM!F122))</f>
        <v>281.33333333333366</v>
      </c>
      <c r="AL122" s="14">
        <v>77</v>
      </c>
      <c r="AM122" s="2">
        <f>MAX(0,AM121+($AL$126-AL122-CUSUM!F122))</f>
        <v>223.43902439024367</v>
      </c>
      <c r="AN122" s="14">
        <v>78</v>
      </c>
      <c r="AO122" s="2">
        <f>MAX(0,AO121+($AN$126-AN122-CUSUM!F122))</f>
        <v>372.13821138211398</v>
      </c>
    </row>
    <row r="123" spans="1:41" x14ac:dyDescent="0.2">
      <c r="A123" s="8">
        <v>43767</v>
      </c>
      <c r="B123" s="14">
        <v>82</v>
      </c>
      <c r="C123" s="2">
        <f>MAX(0,C122+($B$126-B123-CUSUM!F123))</f>
        <v>383.62601626016317</v>
      </c>
      <c r="D123" s="14">
        <v>64</v>
      </c>
      <c r="E123" s="2">
        <f>MAX(0,E122+($D$126-D123-CUSUM!F123))</f>
        <v>373.64227642276433</v>
      </c>
      <c r="F123" s="14">
        <v>78</v>
      </c>
      <c r="G123" s="2">
        <f>MAX(0,G122+($F$126-F123-CUSUM!F123))</f>
        <v>263.92682926829269</v>
      </c>
      <c r="H123" s="14">
        <v>72</v>
      </c>
      <c r="I123" s="2">
        <f>MAX(0,I122+($H$126-H123-CUSUM!F123))</f>
        <v>451.73983739837439</v>
      </c>
      <c r="J123" s="14">
        <v>75</v>
      </c>
      <c r="K123" s="2">
        <f>MAX(0,K122+($J$126-J123-CUSUM!F123))</f>
        <v>443.91869918699126</v>
      </c>
      <c r="L123" s="14">
        <v>63</v>
      </c>
      <c r="M123" s="2">
        <f>MAX(0,M122+($L$126-L123-CUSUM!F123))</f>
        <v>344.90243902439033</v>
      </c>
      <c r="N123" s="14">
        <v>75</v>
      </c>
      <c r="O123" s="2">
        <f>MAX(0,O122+($N$126-N123-CUSUM!F123))</f>
        <v>388.58536585365806</v>
      </c>
      <c r="P123" s="14">
        <v>70</v>
      </c>
      <c r="Q123" s="2">
        <f>MAX(0,Q122+($P$126-P123-CUSUM!F123))</f>
        <v>307.90243902439073</v>
      </c>
      <c r="R123" s="14">
        <v>75</v>
      </c>
      <c r="S123" s="2">
        <f>MAX(0,S122+($R$126-R123-CUSUM!F123))</f>
        <v>293.73983739837382</v>
      </c>
      <c r="T123" s="14">
        <v>64</v>
      </c>
      <c r="U123" s="2">
        <f>MAX(0,U122+($T$126-T123-CUSUM!F123))</f>
        <v>273.94308943089442</v>
      </c>
      <c r="V123" s="14">
        <v>72</v>
      </c>
      <c r="W123" s="2">
        <f>MAX(0,W122+($V$126-V123-CUSUM!F123))</f>
        <v>417.58536585365869</v>
      </c>
      <c r="X123" s="14">
        <v>62</v>
      </c>
      <c r="Y123" s="2">
        <f>MAX(0,Y122+($X$126-X123-CUSUM!F123))</f>
        <v>349.72357723577181</v>
      </c>
      <c r="Z123" s="14">
        <v>59</v>
      </c>
      <c r="AA123" s="2">
        <f>MAX(0,AA122+($Z$126-Z123-CUSUM!F123))</f>
        <v>341.04878048780489</v>
      </c>
      <c r="AB123" s="14">
        <v>75</v>
      </c>
      <c r="AC123" s="2">
        <f>MAX(0,AC122+($AB$126-AB123-CUSUM!F123))</f>
        <v>357.59349593495921</v>
      </c>
      <c r="AD123" s="14">
        <v>68</v>
      </c>
      <c r="AE123" s="2">
        <f>MAX(0,AE122+($AD$126-AD123-CUSUM!F123))</f>
        <v>324.1869918699191</v>
      </c>
      <c r="AF123" s="14">
        <v>59</v>
      </c>
      <c r="AG123" s="2">
        <f>MAX(0,AG122+($AF$126-AF123-CUSUM!F123))</f>
        <v>446.47967479674776</v>
      </c>
      <c r="AH123" s="14">
        <v>56</v>
      </c>
      <c r="AI123" s="2">
        <f>MAX(0,AI122+($AH$126-AH123-CUSUM!F123))</f>
        <v>352.17073170731715</v>
      </c>
      <c r="AJ123" s="14">
        <v>75</v>
      </c>
      <c r="AK123" s="2">
        <f>MAX(0,AK122+($AJ$126-AJ123-CUSUM!F123))</f>
        <v>288.00000000000034</v>
      </c>
      <c r="AL123" s="14">
        <v>73</v>
      </c>
      <c r="AM123" s="2">
        <f>MAX(0,AM122+($AL$126-AL123-CUSUM!F123))</f>
        <v>234.38211382113798</v>
      </c>
      <c r="AN123" s="14">
        <v>70</v>
      </c>
      <c r="AO123" s="2">
        <f>MAX(0,AO122+($AN$126-AN123-CUSUM!F123))</f>
        <v>385.43902439024407</v>
      </c>
    </row>
    <row r="124" spans="1:41" x14ac:dyDescent="0.2">
      <c r="A124" s="8">
        <v>43768</v>
      </c>
      <c r="B124" s="14">
        <v>82</v>
      </c>
      <c r="C124" s="2">
        <f>MAX(0,C123+($B$126-B124-CUSUM!F124))</f>
        <v>385.34146341463475</v>
      </c>
      <c r="D124" s="14">
        <v>66</v>
      </c>
      <c r="E124" s="2">
        <f>MAX(0,E123+($D$126-D124-CUSUM!F124))</f>
        <v>389.31707317073182</v>
      </c>
      <c r="F124" s="14">
        <v>82</v>
      </c>
      <c r="G124" s="2">
        <f>MAX(0,G123+($F$126-F124-CUSUM!F124))</f>
        <v>266.1869918699187</v>
      </c>
      <c r="H124" s="14">
        <v>75</v>
      </c>
      <c r="I124" s="2">
        <f>MAX(0,I123+($H$126-H124-CUSUM!F124))</f>
        <v>460.09756097561018</v>
      </c>
      <c r="J124" s="14">
        <v>77</v>
      </c>
      <c r="K124" s="2">
        <f>MAX(0,K123+($J$126-J124-CUSUM!F124))</f>
        <v>450.95121951219448</v>
      </c>
      <c r="L124" s="14">
        <v>72</v>
      </c>
      <c r="M124" s="2">
        <f>MAX(0,M123+($L$126-L124-CUSUM!F124))</f>
        <v>354.45528455284563</v>
      </c>
      <c r="N124" s="14">
        <v>68</v>
      </c>
      <c r="O124" s="2">
        <f>MAX(0,O123+($N$126-N124-CUSUM!F124))</f>
        <v>404.17073170731658</v>
      </c>
      <c r="P124" s="14">
        <v>77</v>
      </c>
      <c r="Q124" s="2">
        <f>MAX(0,Q123+($P$126-P124-CUSUM!F124))</f>
        <v>312.38211382113872</v>
      </c>
      <c r="R124" s="14">
        <v>78</v>
      </c>
      <c r="S124" s="2">
        <f>MAX(0,S123+($R$126-R124-CUSUM!F124))</f>
        <v>297.50406504065023</v>
      </c>
      <c r="T124" s="14">
        <v>69</v>
      </c>
      <c r="U124" s="2">
        <f>MAX(0,U123+($T$126-T124-CUSUM!F124))</f>
        <v>288.30081300813021</v>
      </c>
      <c r="V124" s="14">
        <v>73</v>
      </c>
      <c r="W124" s="2">
        <f>MAX(0,W123+($V$126-V124-CUSUM!F124))</f>
        <v>427.63414634146358</v>
      </c>
      <c r="X124" s="14">
        <v>67</v>
      </c>
      <c r="Y124" s="2">
        <f>MAX(0,Y123+($X$126-X124-CUSUM!F124))</f>
        <v>368.12195121951163</v>
      </c>
      <c r="Z124" s="14">
        <v>65</v>
      </c>
      <c r="AA124" s="2">
        <f>MAX(0,AA123+($Z$126-Z124-CUSUM!F124))</f>
        <v>358.5609756097561</v>
      </c>
      <c r="AB124" s="14">
        <v>66</v>
      </c>
      <c r="AC124" s="2">
        <f>MAX(0,AC123+($AB$126-AB124-CUSUM!F124))</f>
        <v>372.5853658536584</v>
      </c>
      <c r="AD124" s="14">
        <v>71</v>
      </c>
      <c r="AE124" s="2">
        <f>MAX(0,AE123+($AD$126-AD124-CUSUM!F124))</f>
        <v>340.39837398374027</v>
      </c>
      <c r="AF124" s="14">
        <v>61</v>
      </c>
      <c r="AG124" s="2">
        <f>MAX(0,AG123+($AF$126-AF124-CUSUM!F124))</f>
        <v>470.75609756097538</v>
      </c>
      <c r="AH124" s="14">
        <v>56</v>
      </c>
      <c r="AI124" s="2">
        <f>MAX(0,AI123+($AH$126-AH124-CUSUM!F124))</f>
        <v>380.82113821138216</v>
      </c>
      <c r="AJ124" s="14">
        <v>78</v>
      </c>
      <c r="AK124" s="2">
        <f>MAX(0,AK123+($AJ$126-AJ124-CUSUM!F124))</f>
        <v>291.66666666666703</v>
      </c>
      <c r="AL124" s="14">
        <v>68</v>
      </c>
      <c r="AM124" s="2">
        <f>MAX(0,AM123+($AL$126-AL124-CUSUM!F124))</f>
        <v>250.32520325203228</v>
      </c>
      <c r="AN124" s="14">
        <v>70</v>
      </c>
      <c r="AO124" s="2">
        <f>MAX(0,AO123+($AN$126-AN124-CUSUM!F124))</f>
        <v>398.73983739837416</v>
      </c>
    </row>
    <row r="125" spans="1:41" x14ac:dyDescent="0.2">
      <c r="A125" s="8">
        <v>43769</v>
      </c>
      <c r="B125" s="14">
        <v>81</v>
      </c>
      <c r="C125" s="2">
        <f>MAX(0,C124+($B$126-B125-CUSUM!F125))</f>
        <v>388.05691056910632</v>
      </c>
      <c r="D125" s="14">
        <v>60</v>
      </c>
      <c r="E125" s="2">
        <f>MAX(0,E124+($D$126-D125-CUSUM!F125))</f>
        <v>410.99186991869931</v>
      </c>
      <c r="F125" s="14">
        <v>79</v>
      </c>
      <c r="G125" s="2">
        <f>MAX(0,G124+($F$126-F125-CUSUM!F125))</f>
        <v>271.44715447154471</v>
      </c>
      <c r="H125" s="14">
        <v>75</v>
      </c>
      <c r="I125" s="2">
        <f>MAX(0,I124+($H$126-H125-CUSUM!F125))</f>
        <v>468.45528455284597</v>
      </c>
      <c r="J125" s="14">
        <v>78</v>
      </c>
      <c r="K125" s="2">
        <f>MAX(0,K124+($J$126-J125-CUSUM!F125))</f>
        <v>456.98373983739771</v>
      </c>
      <c r="L125" s="14">
        <v>71</v>
      </c>
      <c r="M125" s="2">
        <f>MAX(0,M124+($L$126-L125-CUSUM!F125))</f>
        <v>365.00813008130092</v>
      </c>
      <c r="N125" s="14">
        <v>60</v>
      </c>
      <c r="O125" s="2">
        <f>MAX(0,O124+($N$126-N125-CUSUM!F125))</f>
        <v>427.75609756097509</v>
      </c>
      <c r="P125" s="14">
        <v>75</v>
      </c>
      <c r="Q125" s="2">
        <f>MAX(0,Q124+($P$126-P125-CUSUM!F125))</f>
        <v>318.8617886178867</v>
      </c>
      <c r="R125" s="14">
        <v>82</v>
      </c>
      <c r="S125" s="2">
        <f>MAX(0,S124+($R$126-R125-CUSUM!F125))</f>
        <v>297.26829268292664</v>
      </c>
      <c r="T125" s="14">
        <v>70</v>
      </c>
      <c r="U125" s="2">
        <f>MAX(0,U124+($T$126-T125-CUSUM!F125))</f>
        <v>301.65853658536599</v>
      </c>
      <c r="V125" s="14">
        <v>68</v>
      </c>
      <c r="W125" s="2">
        <f>MAX(0,W124+($V$126-V125-CUSUM!F125))</f>
        <v>442.68292682926847</v>
      </c>
      <c r="X125" s="14">
        <v>71</v>
      </c>
      <c r="Y125" s="2">
        <f>MAX(0,Y124+($X$126-X125-CUSUM!F125))</f>
        <v>382.52032520325145</v>
      </c>
      <c r="Z125" s="14">
        <v>67</v>
      </c>
      <c r="AA125" s="2">
        <f>MAX(0,AA124+($Z$126-Z125-CUSUM!F125))</f>
        <v>374.07317073170731</v>
      </c>
      <c r="AB125" s="14">
        <v>69</v>
      </c>
      <c r="AC125" s="2">
        <f>MAX(0,AC124+($AB$126-AB125-CUSUM!F125))</f>
        <v>384.5772357723576</v>
      </c>
      <c r="AD125" s="14">
        <v>75</v>
      </c>
      <c r="AE125" s="2">
        <f>MAX(0,AE124+($AD$126-AD125-CUSUM!F125))</f>
        <v>352.60975609756144</v>
      </c>
      <c r="AF125" s="14">
        <v>65</v>
      </c>
      <c r="AG125" s="2">
        <f>MAX(0,AG124+($AF$126-AF125-CUSUM!F125))</f>
        <v>491.032520325203</v>
      </c>
      <c r="AH125" s="14">
        <v>65</v>
      </c>
      <c r="AI125" s="2">
        <f>MAX(0,AI124+($AH$126-AH125-CUSUM!F125))</f>
        <v>400.47154471544718</v>
      </c>
      <c r="AJ125" s="14">
        <v>74</v>
      </c>
      <c r="AK125" s="2">
        <f>MAX(0,AK124+($AJ$126-AJ125-CUSUM!F125))</f>
        <v>299.33333333333371</v>
      </c>
      <c r="AL125" s="14">
        <v>63</v>
      </c>
      <c r="AM125" s="2">
        <f>MAX(0,AM124+($AL$126-AL125-CUSUM!F125))</f>
        <v>271.26829268292659</v>
      </c>
      <c r="AN125" s="14">
        <v>62</v>
      </c>
      <c r="AO125" s="2">
        <f>MAX(0,AO124+($AN$126-AN125-CUSUM!F125))</f>
        <v>420.04065040650426</v>
      </c>
    </row>
    <row r="126" spans="1:41" x14ac:dyDescent="0.2">
      <c r="B126" s="15">
        <f>AVERAGE(B3:B125)</f>
        <v>83.715447154471548</v>
      </c>
      <c r="C126" s="16">
        <f t="shared" ref="C126:AN126" si="0">AVERAGE(C3:C125)</f>
        <v>71.036287923854928</v>
      </c>
      <c r="D126" s="15">
        <f t="shared" si="0"/>
        <v>81.674796747967477</v>
      </c>
      <c r="E126" s="16"/>
      <c r="F126" s="15">
        <f t="shared" si="0"/>
        <v>84.260162601626021</v>
      </c>
      <c r="G126" s="16"/>
      <c r="H126" s="15">
        <f t="shared" si="0"/>
        <v>83.357723577235774</v>
      </c>
      <c r="I126" s="16"/>
      <c r="J126" s="15">
        <f t="shared" si="0"/>
        <v>84.032520325203251</v>
      </c>
      <c r="K126" s="16"/>
      <c r="L126" s="15">
        <f t="shared" si="0"/>
        <v>81.552845528455279</v>
      </c>
      <c r="M126" s="16"/>
      <c r="N126" s="15">
        <f t="shared" si="0"/>
        <v>83.58536585365853</v>
      </c>
      <c r="O126" s="16"/>
      <c r="P126" s="15">
        <f t="shared" si="0"/>
        <v>81.479674796747972</v>
      </c>
      <c r="Q126" s="16"/>
      <c r="R126" s="15">
        <f t="shared" si="0"/>
        <v>81.764227642276424</v>
      </c>
      <c r="S126" s="16"/>
      <c r="T126" s="15">
        <f t="shared" si="0"/>
        <v>83.357723577235774</v>
      </c>
      <c r="U126" s="16"/>
      <c r="V126" s="15">
        <f t="shared" si="0"/>
        <v>83.048780487804876</v>
      </c>
      <c r="W126" s="16"/>
      <c r="X126" s="15">
        <f t="shared" si="0"/>
        <v>85.39837398373983</v>
      </c>
      <c r="Y126" s="16"/>
      <c r="Z126" s="15">
        <f t="shared" si="0"/>
        <v>82.512195121951223</v>
      </c>
      <c r="AA126" s="16"/>
      <c r="AB126" s="15">
        <f t="shared" si="0"/>
        <v>80.99186991869918</v>
      </c>
      <c r="AC126" s="16"/>
      <c r="AD126" s="15">
        <f t="shared" si="0"/>
        <v>87.211382113821145</v>
      </c>
      <c r="AE126" s="16"/>
      <c r="AF126" s="15">
        <f t="shared" si="0"/>
        <v>85.276422764227647</v>
      </c>
      <c r="AG126" s="16"/>
      <c r="AH126" s="15">
        <f t="shared" si="0"/>
        <v>84.650406504065046</v>
      </c>
      <c r="AI126" s="16"/>
      <c r="AJ126" s="15">
        <f t="shared" si="0"/>
        <v>81.666666666666671</v>
      </c>
      <c r="AK126" s="16"/>
      <c r="AL126" s="15">
        <f t="shared" si="0"/>
        <v>83.943089430894304</v>
      </c>
      <c r="AM126" s="16"/>
      <c r="AN126" s="15">
        <f t="shared" si="0"/>
        <v>83.300813008130078</v>
      </c>
      <c r="AO126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3F252-DA8F-3E4F-9112-2EC1E0D82FDA}">
  <dimension ref="A1:U2"/>
  <sheetViews>
    <sheetView workbookViewId="0">
      <selection activeCell="I15" sqref="I15"/>
    </sheetView>
  </sheetViews>
  <sheetFormatPr baseColWidth="10" defaultRowHeight="16" x14ac:dyDescent="0.2"/>
  <sheetData>
    <row r="1" spans="1:21" x14ac:dyDescent="0.2">
      <c r="B1" s="17">
        <v>1996</v>
      </c>
      <c r="C1" s="17">
        <v>1997</v>
      </c>
      <c r="D1" s="17">
        <v>1998</v>
      </c>
      <c r="E1" s="17">
        <v>1999</v>
      </c>
      <c r="F1" s="17">
        <v>2000</v>
      </c>
      <c r="G1" s="17">
        <v>2001</v>
      </c>
      <c r="H1" s="17">
        <v>2002</v>
      </c>
      <c r="I1" s="17">
        <v>2003</v>
      </c>
      <c r="J1" s="17">
        <v>2004</v>
      </c>
      <c r="K1" s="17">
        <v>2005</v>
      </c>
      <c r="L1" s="17">
        <v>2006</v>
      </c>
      <c r="M1" s="17">
        <v>2007</v>
      </c>
      <c r="N1" s="17">
        <v>2008</v>
      </c>
      <c r="O1" s="17">
        <v>2009</v>
      </c>
      <c r="P1" s="17">
        <v>2010</v>
      </c>
      <c r="Q1" s="17">
        <v>2011</v>
      </c>
      <c r="R1" s="17">
        <v>2012</v>
      </c>
      <c r="S1" s="17">
        <v>2013</v>
      </c>
      <c r="T1" s="17">
        <v>2014</v>
      </c>
      <c r="U1" s="17">
        <v>2015</v>
      </c>
    </row>
    <row r="2" spans="1:21" x14ac:dyDescent="0.2">
      <c r="A2" s="3" t="s">
        <v>15</v>
      </c>
      <c r="B2" s="1">
        <v>43727</v>
      </c>
      <c r="C2" s="1">
        <v>43733</v>
      </c>
      <c r="D2" s="1">
        <v>43737</v>
      </c>
      <c r="E2" s="1">
        <v>43728</v>
      </c>
      <c r="F2" s="1">
        <v>43714</v>
      </c>
      <c r="G2" s="1">
        <v>43733</v>
      </c>
      <c r="H2" s="1">
        <v>43732</v>
      </c>
      <c r="I2" s="1">
        <v>43736</v>
      </c>
      <c r="J2" s="1">
        <v>43724</v>
      </c>
      <c r="K2" s="1">
        <v>43745</v>
      </c>
      <c r="L2" s="1">
        <v>43728</v>
      </c>
      <c r="M2" s="1">
        <v>43725</v>
      </c>
      <c r="N2" s="1">
        <v>43727</v>
      </c>
      <c r="O2" s="1">
        <v>43727</v>
      </c>
      <c r="P2" s="1">
        <v>43736</v>
      </c>
      <c r="Q2" s="1">
        <v>43714</v>
      </c>
      <c r="R2" s="1">
        <v>43728</v>
      </c>
      <c r="S2" s="1">
        <v>43693</v>
      </c>
      <c r="T2" s="1">
        <v>43733</v>
      </c>
      <c r="U2" s="1">
        <v>43723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1996-2015</vt:lpstr>
      <vt:lpstr>CUSUM</vt:lpstr>
      <vt:lpstr>DATA 1996-2015_VALID</vt:lpstr>
      <vt:lpstr>DATA 1996-2015_VALID_PLOT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Daeil Cha</dc:creator>
  <cp:lastModifiedBy>Microsoft Office User</cp:lastModifiedBy>
  <dcterms:created xsi:type="dcterms:W3CDTF">2019-09-09T17:26:24Z</dcterms:created>
  <dcterms:modified xsi:type="dcterms:W3CDTF">2019-09-10T12:26:39Z</dcterms:modified>
</cp:coreProperties>
</file>